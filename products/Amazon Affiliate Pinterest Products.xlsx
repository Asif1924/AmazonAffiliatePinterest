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0" sheetId="1" r:id="rId4"/>
    <sheet state="visible" name="Boards0" sheetId="2" r:id="rId5"/>
    <sheet state="visible" name="Products" sheetId="3" r:id="rId6"/>
    <sheet state="visible" name="Boards" sheetId="4" r:id="rId7"/>
  </sheets>
  <definedNames/>
  <calcPr/>
</workbook>
</file>

<file path=xl/sharedStrings.xml><?xml version="1.0" encoding="utf-8"?>
<sst xmlns="http://schemas.openxmlformats.org/spreadsheetml/2006/main" count="557" uniqueCount="269">
  <si>
    <t>ProductID</t>
  </si>
  <si>
    <t>Niche</t>
  </si>
  <si>
    <t>ProductName</t>
  </si>
  <si>
    <t>Brand</t>
  </si>
  <si>
    <t>KeyBenefit</t>
  </si>
  <si>
    <t>TopFeatures</t>
  </si>
  <si>
    <t>IdealFor</t>
  </si>
  <si>
    <t>Keywords</t>
  </si>
  <si>
    <t>PriceBand</t>
  </si>
  <si>
    <t>AmazonAffiliateURL</t>
  </si>
  <si>
    <t>DisclosureLine</t>
  </si>
  <si>
    <t>Angle</t>
  </si>
  <si>
    <t>HookStyle</t>
  </si>
  <si>
    <t>TemplateID</t>
  </si>
  <si>
    <t>BackgroundTheme</t>
  </si>
  <si>
    <t>Status</t>
  </si>
  <si>
    <t>LastUsedDate</t>
  </si>
  <si>
    <t>Priority</t>
  </si>
  <si>
    <t>PinTitle</t>
  </si>
  <si>
    <t>PinHookOverlay</t>
  </si>
  <si>
    <t>PinDescription</t>
  </si>
  <si>
    <t>BoardName</t>
  </si>
  <si>
    <t>CanvaImageName</t>
  </si>
  <si>
    <t>As an Amazon Associate I earn from qualifying purchases. #ad</t>
  </si>
  <si>
    <t>electronics</t>
  </si>
  <si>
    <t>Smart Electronics Finds</t>
  </si>
  <si>
    <t>home/kitchen</t>
  </si>
  <si>
    <t>Kitchen Upgrades &amp; Must-Haves</t>
  </si>
  <si>
    <t>tools</t>
  </si>
  <si>
    <t>Tools That Save Time</t>
  </si>
  <si>
    <t>fitness</t>
  </si>
  <si>
    <t>Home Gym Essentials</t>
  </si>
  <si>
    <t>cars</t>
  </si>
  <si>
    <t>Car Accessories &amp; Upgrades</t>
  </si>
  <si>
    <t>computer accessories</t>
  </si>
  <si>
    <t>Desk Setup &amp; Accessories</t>
  </si>
  <si>
    <t>PROD001</t>
  </si>
  <si>
    <t>Anker PowerCore 20000mAh Power Bank</t>
  </si>
  <si>
    <t>Anker</t>
  </si>
  <si>
    <t>Never run out of battery on the go with 20000mAh capacity</t>
  </si>
  <si>
    <t>20000mAh capacity; Charges iPhone 5 times; Dual USB ports; Fast charging; Compact design</t>
  </si>
  <si>
    <t>travelers and commuters</t>
  </si>
  <si>
    <t>portable charger, power bank, phone charger, travel accessories, USB charger, battery pack, Anker, mobile charging</t>
  </si>
  <si>
    <t>mid</t>
  </si>
  <si>
    <t>https://www.amazon.ca/Anker-PowerCore-Essential-High-Capacity-Compatible/dp/B07SQ5MQ6K?mcid=4497651534b83e49a9dbb8d6e07fab7c&amp;hvadid=706741198290&amp;hvpos=&amp;hvnetw=g&amp;hvrand=10374663545583557608&amp;hvpone=&amp;hvptwo=&amp;hvqmt=&amp;hvdev=c&amp;hvdvcmdl=&amp;hvlocint=&amp;hvlocphy=9000833&amp;hvtargid=pla-825479559737&amp;psc=1&amp;hvocijid=10374663545583557608-B07SQ5MQ6K-&amp;hvexpln=0&amp;gad_source=1&amp;linkCode=ll1&amp;tag=allitechstore-20&amp;linkId=ed124977636908a29873fd4606abe445&amp;language=en_CA&amp;ref_=as_li_ss_tl</t>
  </si>
  <si>
    <t>Problem/Solution</t>
  </si>
  <si>
    <t>Question</t>
  </si>
  <si>
    <t>T1</t>
  </si>
  <si>
    <t>tech</t>
  </si>
  <si>
    <t>READY</t>
  </si>
  <si>
    <t>PROD002</t>
  </si>
  <si>
    <t>Instant Pot Duo 7-in-1 Electric Pressure Cooker</t>
  </si>
  <si>
    <t>Instant Pot</t>
  </si>
  <si>
    <t>Cook meals 70% faster with this versatile 7-in-1 appliance</t>
  </si>
  <si>
    <t>7 cooking functions; 6-quart capacity; Programmable timer; Stainless steel; Energy efficient</t>
  </si>
  <si>
    <t>busy families and meal preppers</t>
  </si>
  <si>
    <t>instant pot, pressure cooker, slow cooker, rice cooker, kitchen appliances, meal prep, cooking, time saver</t>
  </si>
  <si>
    <t>https://www.amazon.com/dp/XXXXXXX?tag=yourtag-20</t>
  </si>
  <si>
    <t>Upgrade</t>
  </si>
  <si>
    <t>Bold Claim</t>
  </si>
  <si>
    <t>T2</t>
  </si>
  <si>
    <t>kitchen</t>
  </si>
  <si>
    <t>PROD003</t>
  </si>
  <si>
    <t>Resistance Bands Set with Handles</t>
  </si>
  <si>
    <t>Fit Simplify</t>
  </si>
  <si>
    <t>Get a full-body workout anywhere with portable resistance bands</t>
  </si>
  <si>
    <t>5 resistance levels; Door anchor included; Comfortable handles; Carrying bag; Exercise guide</t>
  </si>
  <si>
    <t>home workouts and travelers</t>
  </si>
  <si>
    <t>resistance bands, workout bands, exercise equipment, home gym, fitness, strength training, portable gym</t>
  </si>
  <si>
    <t>budget</t>
  </si>
  <si>
    <t>Quick Tip</t>
  </si>
  <si>
    <t>3 Things</t>
  </si>
  <si>
    <t>T3</t>
  </si>
  <si>
    <t>gym</t>
  </si>
  <si>
    <t>PROD004</t>
  </si>
  <si>
    <t>DEWALT 20V MAX Cordless Drill Combo Kit</t>
  </si>
  <si>
    <t>DEWALT</t>
  </si>
  <si>
    <t>Professional-grade power tools for any DIY project</t>
  </si>
  <si>
    <t>20V lithium battery; 2-speed transmission; LED work light; Compact design; Includes 2 batteries</t>
  </si>
  <si>
    <t>DIY enthusiasts and homeowners</t>
  </si>
  <si>
    <t>cordless drill, power tools, DEWALT, drill kit, home improvement, DIY tools, battery drill</t>
  </si>
  <si>
    <t>premium</t>
  </si>
  <si>
    <t>Best For</t>
  </si>
  <si>
    <t>T4</t>
  </si>
  <si>
    <t>garage</t>
  </si>
  <si>
    <t>PROD005</t>
  </si>
  <si>
    <t>VIOFO Dash Cam Front and Rear Camera</t>
  </si>
  <si>
    <t>VIOFO</t>
  </si>
  <si>
    <t>Protect yourself with 24/7 recording and parking mode</t>
  </si>
  <si>
    <t>1080P front and rear; Night vision; G-sensor; Loop recording; 32GB SD card included</t>
  </si>
  <si>
    <t>daily drivers and road trippers</t>
  </si>
  <si>
    <t>dash cam, car camera, driving recorder, car accessories, safety, parking camera, vehicle security</t>
  </si>
  <si>
    <t>Stop Doing This</t>
  </si>
  <si>
    <t>T5</t>
  </si>
  <si>
    <t>car</t>
  </si>
  <si>
    <t>PROD006</t>
  </si>
  <si>
    <t>Logitech MX Master 3 Wireless Mouse</t>
  </si>
  <si>
    <t>Logitech</t>
  </si>
  <si>
    <t>Boost productivity with ultra-precise scrolling and customizable buttons</t>
  </si>
  <si>
    <t>MagSpeed scrolling; Ergonomic design; Multi-device connectivity; USB-C charging; Customizable buttons</t>
  </si>
  <si>
    <t>professionals and content creators</t>
  </si>
  <si>
    <t>wireless mouse, ergonomic mouse, Logitech, productivity, computer accessories, desk setup, office gear</t>
  </si>
  <si>
    <t>clean</t>
  </si>
  <si>
    <t>PROD007</t>
  </si>
  <si>
    <t>Apple AirPods Pro 2nd Generation</t>
  </si>
  <si>
    <t>Apple</t>
  </si>
  <si>
    <t>Experience immersive sound with active noise cancellation</t>
  </si>
  <si>
    <t>Active noise cancellation; Transparency mode; Spatial audio; 6-hour battery; MagSafe charging</t>
  </si>
  <si>
    <t>music lovers and commuters</t>
  </si>
  <si>
    <t>AirPods, wireless earbuds, Apple, noise cancelling, earphones, Bluetooth headphones, audio</t>
  </si>
  <si>
    <t>PROD008</t>
  </si>
  <si>
    <t>Ninja Air Fryer 4-Quart</t>
  </si>
  <si>
    <t>Ninja</t>
  </si>
  <si>
    <t>Enjoy crispy fried foods with 75% less fat</t>
  </si>
  <si>
    <t>4-quart capacity; 400°F max temp; Easy to clean; Dishwasher safe; Compact design</t>
  </si>
  <si>
    <t>health-conscious cooks and small families</t>
  </si>
  <si>
    <t>air fryer, Ninja, healthy cooking, kitchen appliances, oil-free fryer, countertop cooker</t>
  </si>
  <si>
    <t>PROD009</t>
  </si>
  <si>
    <t>Fitbit Charge 6 Fitness Tracker</t>
  </si>
  <si>
    <t>Fitbit</t>
  </si>
  <si>
    <t>Track your health 24/7 with advanced fitness metrics</t>
  </si>
  <si>
    <t>Heart rate monitor; Sleep tracking; GPS; 7-day battery; Water resistant; Stress management</t>
  </si>
  <si>
    <t>fitness enthusiasts and health trackers</t>
  </si>
  <si>
    <t>Fitbit, fitness tracker, smartwatch, health monitor, activity tracker, step counter, heart rate</t>
  </si>
  <si>
    <t>PROD010</t>
  </si>
  <si>
    <t>BLACK+DECKER 20V MAX Cordless Drill</t>
  </si>
  <si>
    <t>BLACK+DECKER</t>
  </si>
  <si>
    <t>Tackle home projects with this reliable cordless drill</t>
  </si>
  <si>
    <t>20V MAX battery; 11-position clutch; LED work light; Compact; Includes battery and charger</t>
  </si>
  <si>
    <t>homeowners and DIYers</t>
  </si>
  <si>
    <t>cordless drill, BLACK+DECKER, power drill, home tools, battery drill, DIY, home improvement</t>
  </si>
  <si>
    <t>PROD011</t>
  </si>
  <si>
    <t>WeatherTech All-Weather Floor Mats</t>
  </si>
  <si>
    <t>WeatherTech</t>
  </si>
  <si>
    <t>Keep your car interior pristine with custom-fit floor mats</t>
  </si>
  <si>
    <t>Custom fit; All-weather protection; Easy to clean; Raised edges; Made in USA</t>
  </si>
  <si>
    <t>car owners and detailing enthusiasts</t>
  </si>
  <si>
    <t>floor mats, car mats, WeatherTech, auto accessories, car interior, all-weather mats, vehicle protection</t>
  </si>
  <si>
    <t>PROD012</t>
  </si>
  <si>
    <t>Mechanical Keyboard RGB Backlit</t>
  </si>
  <si>
    <t>Redragon</t>
  </si>
  <si>
    <t>Enhance your typing experience with tactile mechanical switches</t>
  </si>
  <si>
    <t>RGB backlight; Mechanical switches; Anti-ghosting; Ergonomic; Durable construction</t>
  </si>
  <si>
    <t>gamers and typists</t>
  </si>
  <si>
    <t>mechanical keyboard, gaming keyboard, RGB keyboard, Redragon, computer accessories, backlit keyboard</t>
  </si>
  <si>
    <t>PROD013</t>
  </si>
  <si>
    <t>Samsung 65-Inch 4K Smart TV</t>
  </si>
  <si>
    <t>Samsung</t>
  </si>
  <si>
    <t>Transform your living room with stunning 4K picture quality</t>
  </si>
  <si>
    <t>65-inch 4K display; Smart TV features; HDR support; Voice control; Multiple HDMI ports</t>
  </si>
  <si>
    <t>home entertainment enthusiasts</t>
  </si>
  <si>
    <t>4K TV, Samsung TV, smart TV, large screen TV, home theater, streaming TV, entertainment</t>
  </si>
  <si>
    <t>PROD014</t>
  </si>
  <si>
    <t>Keurig K-Elite Coffee Maker</t>
  </si>
  <si>
    <t>Keurig</t>
  </si>
  <si>
    <t>Brew perfect coffee in under a minute with one-touch convenience</t>
  </si>
  <si>
    <t>5 cup sizes; Iced coffee setting; Strong brew option; Large water reservoir; Programmable</t>
  </si>
  <si>
    <t>coffee lovers and busy professionals</t>
  </si>
  <si>
    <t>Keurig, coffee maker, single serve, K-cup, coffee machine, brewing system, kitchen appliances</t>
  </si>
  <si>
    <t>PROD015</t>
  </si>
  <si>
    <t>Yoga Mat Extra Thick Non-Slip</t>
  </si>
  <si>
    <t>BalanceFrom</t>
  </si>
  <si>
    <t>Practice yoga comfortably with extra cushioning and grip</t>
  </si>
  <si>
    <t>Extra thick 1/2 inch; Non-slip surface; Moisture resistant; Carrying strap; Easy to clean</t>
  </si>
  <si>
    <t>yoga practitioners and fitness enthusiasts</t>
  </si>
  <si>
    <t>yoga mat, exercise mat, fitness mat, yoga accessories, workout mat, non-slip mat, thick mat</t>
  </si>
  <si>
    <t>PROD016</t>
  </si>
  <si>
    <t>Craftsman 230-Piece Mechanics Tool Set</t>
  </si>
  <si>
    <t>Craftsman</t>
  </si>
  <si>
    <t>Complete your workshop with this comprehensive tool set</t>
  </si>
  <si>
    <t>230 pieces; Sockets and wrenches; Durable case; Chrome finish; Lifetime warranty</t>
  </si>
  <si>
    <t>mechanics and tool collectors</t>
  </si>
  <si>
    <t>tool set, Craftsman, mechanics tools, socket set, wrench set, garage tools, hand tools</t>
  </si>
  <si>
    <t>PROD017</t>
  </si>
  <si>
    <t>Garmin DriveSmart 65 GPS Navigator</t>
  </si>
  <si>
    <t>Garmin</t>
  </si>
  <si>
    <t>Navigate with confidence using voice-activated GPS</t>
  </si>
  <si>
    <t>6.95-inch display; Voice control; Live traffic; Bluetooth; Driver alerts; Lifetime maps</t>
  </si>
  <si>
    <t>road trippers and daily commuters</t>
  </si>
  <si>
    <t>GPS, Garmin, car navigation, GPS navigator, driving directions, car electronics, travel</t>
  </si>
  <si>
    <t>PROD018</t>
  </si>
  <si>
    <t>USB-C Hub 7-in-1 Adapter</t>
  </si>
  <si>
    <t>Expand your laptop connectivity with 7 essential ports</t>
  </si>
  <si>
    <t>7 ports; 4K HDMI; USB 3.0; SD card reader; 100W power delivery; Compact design</t>
  </si>
  <si>
    <t>laptop users and professionals</t>
  </si>
  <si>
    <t>USB-C hub, laptop adapter, Anker, USB hub, HDMI adapter, computer accessories, docking station</t>
  </si>
  <si>
    <t>PROD019</t>
  </si>
  <si>
    <t>Bose QuietComfort 45 Headphones</t>
  </si>
  <si>
    <t>Bose</t>
  </si>
  <si>
    <t>Immerse yourself in music with world-class noise cancellation</t>
  </si>
  <si>
    <t>Active noise cancellation; 24-hour battery; Bluetooth 5.1; Comfortable design; Premium audio</t>
  </si>
  <si>
    <t>audiophiles and travelers</t>
  </si>
  <si>
    <t>Bose headphones, noise cancelling headphones, wireless headphones, Bluetooth headphones, premium audio</t>
  </si>
  <si>
    <t>PROD020</t>
  </si>
  <si>
    <t>Vitamix E310 Explorian Blender</t>
  </si>
  <si>
    <t>Vitamix</t>
  </si>
  <si>
    <t>Blend anything from smoothies to hot soups with professional power</t>
  </si>
  <si>
    <t>Variable speed control; 48-ounce container; Self-cleaning; Aircraft-grade blades; 5-year warranty</t>
  </si>
  <si>
    <t>health enthusiasts and home chefs</t>
  </si>
  <si>
    <t>Vitamix, blender, high-power blender, smoothie maker, kitchen appliances, food processor</t>
  </si>
  <si>
    <t>PROD021</t>
  </si>
  <si>
    <t>Bowflex SelectTech Adjustable Dumbbells</t>
  </si>
  <si>
    <t>Bowflex</t>
  </si>
  <si>
    <t>Replace 15 sets of weights with one compact dumbbell system</t>
  </si>
  <si>
    <t>Adjustable 5-52.5 lbs; Space-saving; Durable construction; Easy weight selection; Compact storage</t>
  </si>
  <si>
    <t>home gym builders and strength trainers</t>
  </si>
  <si>
    <t>adjustable dumbbells, Bowflex, home gym, weights, strength training, fitness equipment, dumbbells</t>
  </si>
  <si>
    <t>PROD022</t>
  </si>
  <si>
    <t>Bosch 12V Cordless Drill Driver Kit</t>
  </si>
  <si>
    <t>Bosch</t>
  </si>
  <si>
    <t>Handle precision tasks with this compact cordless drill</t>
  </si>
  <si>
    <t>12V battery; Compact design; 20-position clutch; LED light; Includes 2 batteries</t>
  </si>
  <si>
    <t>precision work and tight spaces</t>
  </si>
  <si>
    <t>Bosch drill, cordless drill, compact drill, 12V drill, power tools, precision tools</t>
  </si>
  <si>
    <t>PROD023</t>
  </si>
  <si>
    <t>Armor All Car Vacuum Cleaner</t>
  </si>
  <si>
    <t>Armor All</t>
  </si>
  <si>
    <t>Keep your car spotless with powerful portable suction</t>
  </si>
  <si>
    <t>Wet/dry vacuum; 16-foot cord; Multiple attachments; Compact storage; Easy to empty</t>
  </si>
  <si>
    <t>car owners and detailers</t>
  </si>
  <si>
    <t>car vacuum, portable vacuum, Armor All, auto cleaning, car accessories, vehicle vacuum</t>
  </si>
  <si>
    <t>PROD024</t>
  </si>
  <si>
    <t>Webcam 1080P HD with Microphone</t>
  </si>
  <si>
    <t>Look professional in video calls with crystal-clear HD quality</t>
  </si>
  <si>
    <t>1080P HD; Built-in microphone; Auto light correction; Wide-angle lens; Plug and play</t>
  </si>
  <si>
    <t>remote workers and streamers</t>
  </si>
  <si>
    <t>webcam, Logitech webcam, HD camera, video conferencing, streaming camera, computer camera</t>
  </si>
  <si>
    <t>PROD025</t>
  </si>
  <si>
    <t>Ring Video Doorbell Pro 2</t>
  </si>
  <si>
    <t>Ring</t>
  </si>
  <si>
    <t>See and speak to visitors from anywhere with HD+ video</t>
  </si>
  <si>
    <t>1536p HD+ video; 3D motion detection; Two-way talk; Night vision; Alexa compatible</t>
  </si>
  <si>
    <t>homeowners and security-conscious</t>
  </si>
  <si>
    <t>Ring doorbell, video doorbell, smart doorbell, home security, Ring camera, doorbell camera</t>
  </si>
  <si>
    <t>PROD026</t>
  </si>
  <si>
    <t>Lodge Cast Iron Skillet 12-Inch</t>
  </si>
  <si>
    <t>Lodge</t>
  </si>
  <si>
    <t>Cook like a pro with this pre-seasoned cast iron skillet</t>
  </si>
  <si>
    <t>Pre-seasoned; 12-inch diameter; Oven safe; Lifetime durability; Even heat distribution</t>
  </si>
  <si>
    <t>home cooks and camping enthusiasts</t>
  </si>
  <si>
    <t>cast iron skillet, Lodge, cookware, frying pan, kitchen essentials, camping cookware</t>
  </si>
  <si>
    <t>PROD027</t>
  </si>
  <si>
    <t>Foam Roller for Muscle Recovery</t>
  </si>
  <si>
    <t>TriggerPoint</t>
  </si>
  <si>
    <t>Speed up recovery and reduce soreness with targeted massage</t>
  </si>
  <si>
    <t>High-density foam; Multi-density zones; Durable construction; Portable; Includes guide</t>
  </si>
  <si>
    <t>athletes and fitness enthusiasts</t>
  </si>
  <si>
    <t>foam roller, muscle recovery, massage roller, fitness recovery, TriggerPoint, workout recovery</t>
  </si>
  <si>
    <t>PROD028</t>
  </si>
  <si>
    <t>Milwaukee M18 Impact Driver Kit</t>
  </si>
  <si>
    <t>Milwaukee</t>
  </si>
  <si>
    <t>Drive screws faster with professional-grade impact power</t>
  </si>
  <si>
    <t>M18 battery system; 1500 in-lbs torque; LED light; Compact; Includes battery and charger</t>
  </si>
  <si>
    <t>contractors and serious DIYers</t>
  </si>
  <si>
    <t>impact driver, Milwaukee, power tools, cordless impact, M18 tools, professional tools</t>
  </si>
  <si>
    <t>PROD029</t>
  </si>
  <si>
    <t>Michelin Stealth Hybrid Wiper Blades</t>
  </si>
  <si>
    <t>Michelin</t>
  </si>
  <si>
    <t>See clearly in any weather with premium wiper blades</t>
  </si>
  <si>
    <t>Hybrid design; All-weather performance; Easy installation; Quiet operation; Durable</t>
  </si>
  <si>
    <t>all car owners</t>
  </si>
  <si>
    <t>wiper blades, Michelin, car parts, windshield wipers, auto accessories, all-weather wipers</t>
  </si>
  <si>
    <t>PROD030</t>
  </si>
  <si>
    <t>Standing Desk Converter</t>
  </si>
  <si>
    <t>VIVO</t>
  </si>
  <si>
    <t>Improve posture and energy with an adjustable standing desk</t>
  </si>
  <si>
    <t>Height adjustable; 32-inch wide; Dual-tier design; Easy assembly; Sturdy construction</t>
  </si>
  <si>
    <t>office workers and remote professionals</t>
  </si>
  <si>
    <t>standing desk, desk converter, VIVO, ergonomic desk, sit-stand desk, office furniture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</si>
</sst>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'MesloLGM Nerd Font'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azon.com/dp/XXXXXXX?tag=yourtag-20" TargetMode="External"/><Relationship Id="rId22" Type="http://schemas.openxmlformats.org/officeDocument/2006/relationships/hyperlink" Target="https://www.amazon.com/dp/XXXXXXX?tag=yourtag-20" TargetMode="External"/><Relationship Id="rId21" Type="http://schemas.openxmlformats.org/officeDocument/2006/relationships/hyperlink" Target="https://www.amazon.com/dp/XXXXXXX?tag=yourtag-20" TargetMode="External"/><Relationship Id="rId24" Type="http://schemas.openxmlformats.org/officeDocument/2006/relationships/hyperlink" Target="https://www.amazon.com/dp/XXXXXXX?tag=yourtag-20" TargetMode="External"/><Relationship Id="rId23" Type="http://schemas.openxmlformats.org/officeDocument/2006/relationships/hyperlink" Target="https://www.amazon.com/dp/XXXXXXX?tag=yourtag-20" TargetMode="External"/><Relationship Id="rId1" Type="http://schemas.openxmlformats.org/officeDocument/2006/relationships/hyperlink" Target="https://www.amazon.ca/Anker-PowerCore-Essential-High-Capacity-Compatible/dp/B07SQ5MQ6K?mcid=4497651534b83e49a9dbb8d6e07fab7c&amp;hvadid=706741198290&amp;hvpos=&amp;hvnetw=g&amp;hvrand=10374663545583557608&amp;hvpone=&amp;hvptwo=&amp;hvqmt=&amp;hvdev=c&amp;hvdvcmdl=&amp;hvlocint=&amp;hvlocphy=9000833&amp;hvtargid=pla-825479559737&amp;psc=1&amp;hvocijid=10374663545583557608-B07SQ5MQ6K-&amp;hvexpln=0&amp;gad_source=1&amp;linkCode=ll1&amp;tag=allitechstore-20&amp;linkId=ed124977636908a29873fd4606abe445&amp;language=en_CA&amp;ref_=as_li_ss_tl" TargetMode="External"/><Relationship Id="rId2" Type="http://schemas.openxmlformats.org/officeDocument/2006/relationships/hyperlink" Target="https://www.amazon.com/dp/XXXXXXX?tag=yourtag-20" TargetMode="External"/><Relationship Id="rId3" Type="http://schemas.openxmlformats.org/officeDocument/2006/relationships/hyperlink" Target="https://www.amazon.com/dp/XXXXXXX?tag=yourtag-20" TargetMode="External"/><Relationship Id="rId4" Type="http://schemas.openxmlformats.org/officeDocument/2006/relationships/hyperlink" Target="https://www.amazon.com/dp/XXXXXXX?tag=yourtag-20" TargetMode="External"/><Relationship Id="rId9" Type="http://schemas.openxmlformats.org/officeDocument/2006/relationships/hyperlink" Target="https://www.amazon.com/dp/XXXXXXX?tag=yourtag-20" TargetMode="External"/><Relationship Id="rId26" Type="http://schemas.openxmlformats.org/officeDocument/2006/relationships/hyperlink" Target="https://www.amazon.com/dp/XXXXXXX?tag=yourtag-20" TargetMode="External"/><Relationship Id="rId25" Type="http://schemas.openxmlformats.org/officeDocument/2006/relationships/hyperlink" Target="https://www.amazon.com/dp/XXXXXXX?tag=yourtag-20" TargetMode="External"/><Relationship Id="rId28" Type="http://schemas.openxmlformats.org/officeDocument/2006/relationships/hyperlink" Target="https://www.amazon.com/dp/XXXXXXX?tag=yourtag-20" TargetMode="External"/><Relationship Id="rId27" Type="http://schemas.openxmlformats.org/officeDocument/2006/relationships/hyperlink" Target="https://www.amazon.com/dp/XXXXXXX?tag=yourtag-20" TargetMode="External"/><Relationship Id="rId5" Type="http://schemas.openxmlformats.org/officeDocument/2006/relationships/hyperlink" Target="https://www.amazon.com/dp/XXXXXXX?tag=yourtag-20" TargetMode="External"/><Relationship Id="rId6" Type="http://schemas.openxmlformats.org/officeDocument/2006/relationships/hyperlink" Target="https://www.amazon.com/dp/XXXXXXX?tag=yourtag-20" TargetMode="External"/><Relationship Id="rId29" Type="http://schemas.openxmlformats.org/officeDocument/2006/relationships/hyperlink" Target="https://www.amazon.com/dp/XXXXXXX?tag=yourtag-20" TargetMode="External"/><Relationship Id="rId7" Type="http://schemas.openxmlformats.org/officeDocument/2006/relationships/hyperlink" Target="https://www.amazon.com/dp/XXXXXXX?tag=yourtag-20" TargetMode="External"/><Relationship Id="rId8" Type="http://schemas.openxmlformats.org/officeDocument/2006/relationships/hyperlink" Target="https://www.amazon.com/dp/XXXXXXX?tag=yourtag-20" TargetMode="External"/><Relationship Id="rId31" Type="http://schemas.openxmlformats.org/officeDocument/2006/relationships/drawing" Target="../drawings/drawing3.xml"/><Relationship Id="rId30" Type="http://schemas.openxmlformats.org/officeDocument/2006/relationships/hyperlink" Target="https://www.amazon.com/dp/XXXXXXX?tag=yourtag-20" TargetMode="External"/><Relationship Id="rId11" Type="http://schemas.openxmlformats.org/officeDocument/2006/relationships/hyperlink" Target="https://www.amazon.com/dp/XXXXXXX?tag=yourtag-20" TargetMode="External"/><Relationship Id="rId10" Type="http://schemas.openxmlformats.org/officeDocument/2006/relationships/hyperlink" Target="https://www.amazon.com/dp/XXXXXXX?tag=yourtag-20" TargetMode="External"/><Relationship Id="rId13" Type="http://schemas.openxmlformats.org/officeDocument/2006/relationships/hyperlink" Target="https://www.amazon.com/dp/XXXXXXX?tag=yourtag-20" TargetMode="External"/><Relationship Id="rId12" Type="http://schemas.openxmlformats.org/officeDocument/2006/relationships/hyperlink" Target="https://www.amazon.com/dp/XXXXXXX?tag=yourtag-20" TargetMode="External"/><Relationship Id="rId15" Type="http://schemas.openxmlformats.org/officeDocument/2006/relationships/hyperlink" Target="https://www.amazon.com/dp/XXXXXXX?tag=yourtag-20" TargetMode="External"/><Relationship Id="rId14" Type="http://schemas.openxmlformats.org/officeDocument/2006/relationships/hyperlink" Target="https://www.amazon.com/dp/XXXXXXX?tag=yourtag-20" TargetMode="External"/><Relationship Id="rId17" Type="http://schemas.openxmlformats.org/officeDocument/2006/relationships/hyperlink" Target="https://www.amazon.com/dp/XXXXXXX?tag=yourtag-20" TargetMode="External"/><Relationship Id="rId16" Type="http://schemas.openxmlformats.org/officeDocument/2006/relationships/hyperlink" Target="https://www.amazon.com/dp/XXXXXXX?tag=yourtag-20" TargetMode="External"/><Relationship Id="rId19" Type="http://schemas.openxmlformats.org/officeDocument/2006/relationships/hyperlink" Target="https://www.amazon.com/dp/XXXXXXX?tag=yourtag-20" TargetMode="External"/><Relationship Id="rId18" Type="http://schemas.openxmlformats.org/officeDocument/2006/relationships/hyperlink" Target="https://www.amazon.com/dp/XXXXXXX?tag=yourtag-20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K2" s="1" t="s">
        <v>23</v>
      </c>
      <c r="S2" s="2" t="str">
        <f>IF(C2="","",C2 &amp; " — " &amp; IF(L2="Upgrade","Easy upgrade for ","Best pick for ") &amp; G2)</f>
        <v/>
      </c>
      <c r="T2" s="2" t="str">
        <f>IFERROR(__xludf.DUMMYFUNCTION("IF(C2="""","""",IF(M2=""Question"",""Still dealing with "" &amp; LOWER(REGEXREPLACE(SPLIT(H2,"","",TRUE,TRUE),""\s+$"","""")) &amp; ""?"", IF(M2=""Bold Claim"", ""Fix this in 5 minutes"", IF(M2=""Stop Doing This"", ""Stop struggling with this"", IF(M2=""3 Things"&amp;""", ""3 reasons you’ll love this"", ""Best pick for "" &amp; G2)))))"),"")</f>
        <v/>
      </c>
      <c r="U2" s="2" t="str">
        <f>IF(C2="","","Why it’s worth it: " &amp; E2 &amp; " Features: " &amp; SUBSTITUTE(F2,";"," • ") &amp; ". Great for: " &amp; G2 &amp; ". Keywords: " &amp; H2 &amp; " " &amp; K2)</f>
        <v/>
      </c>
      <c r="V2" s="2" t="str">
        <f>IF(B2="","",IFERROR(VLOOKUP(B2,Boards0!A:B,2,FALSE),"General Finds"))</f>
        <v/>
      </c>
      <c r="W2" s="2" t="str">
        <f>IF(A2="","",TEXT(TODAY(),"yyyy-mm-dd") &amp; "_" &amp; N2 &amp; "_" &amp; A2 &amp; ".png")</f>
        <v/>
      </c>
    </row>
    <row r="3">
      <c r="K3" s="1" t="s">
        <v>23</v>
      </c>
    </row>
    <row r="4">
      <c r="K4" s="1" t="s">
        <v>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7.63"/>
  </cols>
  <sheetData>
    <row r="1">
      <c r="A1" s="1" t="s">
        <v>1</v>
      </c>
      <c r="B1" s="1" t="s">
        <v>21</v>
      </c>
    </row>
    <row r="2">
      <c r="A2" s="3" t="s">
        <v>24</v>
      </c>
      <c r="B2" s="3" t="s">
        <v>25</v>
      </c>
    </row>
    <row r="3">
      <c r="A3" s="3" t="s">
        <v>26</v>
      </c>
      <c r="B3" s="3" t="s">
        <v>27</v>
      </c>
    </row>
    <row r="4">
      <c r="A4" s="3" t="s">
        <v>28</v>
      </c>
      <c r="B4" s="3" t="s">
        <v>29</v>
      </c>
    </row>
    <row r="5">
      <c r="A5" s="3" t="s">
        <v>30</v>
      </c>
      <c r="B5" s="3" t="s">
        <v>31</v>
      </c>
    </row>
    <row r="6">
      <c r="A6" s="3" t="s">
        <v>32</v>
      </c>
      <c r="B6" s="3" t="s">
        <v>33</v>
      </c>
    </row>
    <row r="7">
      <c r="A7" s="3" t="s">
        <v>34</v>
      </c>
      <c r="B7" s="3" t="s">
        <v>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7.25"/>
    <col customWidth="1" min="3" max="3" width="36.13"/>
    <col customWidth="1" min="4" max="4" width="14.38"/>
    <col customWidth="1" min="5" max="5" width="53.13"/>
    <col customWidth="1" min="6" max="6" width="78.75"/>
    <col customWidth="1" min="7" max="7" width="32.0"/>
    <col customWidth="1" min="8" max="8" width="86.63"/>
    <col customWidth="1" min="9" max="9" width="8.75"/>
    <col customWidth="1" min="10" max="10" width="91.63"/>
    <col customWidth="1" min="11" max="11" width="47.38"/>
    <col customWidth="1" min="12" max="12" width="13.75"/>
    <col customWidth="1" min="13" max="13" width="12.88"/>
    <col customWidth="1" min="14" max="14" width="9.38"/>
    <col customWidth="1" min="15" max="15" width="15.13"/>
    <col customWidth="1" min="16" max="16" width="6.75"/>
    <col customWidth="1" min="17" max="17" width="11.5"/>
    <col customWidth="1" min="18" max="18" width="6.13"/>
    <col customWidth="1" min="19" max="19" width="62.63"/>
    <col customWidth="1" min="20" max="20" width="26.5"/>
    <col customWidth="1" min="21" max="21" width="307.38"/>
    <col customWidth="1" min="22" max="22" width="18.63"/>
    <col customWidth="1" min="23" max="23" width="2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36</v>
      </c>
      <c r="B2" s="1" t="s">
        <v>24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  <c r="I2" s="1" t="s">
        <v>43</v>
      </c>
      <c r="J2" s="4" t="s">
        <v>44</v>
      </c>
      <c r="K2" s="1" t="s">
        <v>23</v>
      </c>
      <c r="L2" s="1" t="s">
        <v>45</v>
      </c>
      <c r="M2" s="1" t="s">
        <v>46</v>
      </c>
      <c r="N2" s="1" t="s">
        <v>47</v>
      </c>
      <c r="O2" s="1" t="s">
        <v>48</v>
      </c>
      <c r="P2" s="1" t="s">
        <v>49</v>
      </c>
      <c r="R2" s="1">
        <v>5.0</v>
      </c>
      <c r="S2" s="2" t="str">
        <f t="shared" ref="S2:S31" si="1">IF(C2="","",C2 &amp; " — " &amp; IF(L2="Upgrade","Easy upgrade for ","Best pick for ") &amp; G2)</f>
        <v>Anker PowerCore 20000mAh Power Bank — Best pick for travelers and commuters</v>
      </c>
      <c r="T2" s="2" t="str">
        <f>IFERROR(__xludf.DUMMYFUNCTION("IF(C2="""","""",IF(M2=""Question"",""Still dealing with "" &amp; LOWER(REGEXREPLACE(SPLIT(H2,"","",TRUE,TRUE),""\s+$"","""")) &amp; ""?"", IF(M2=""Bold Claim"", ""Fix this in 5 minutes"", IF(M2=""Stop Doing This"", ""Stop struggling with this"", IF(M2=""3 Things"&amp;""", ""3 reasons you’ll love this"", ""Best pick for "" &amp; G2)))))"),"Still dealing with portable charger?")</f>
        <v>Still dealing with portable charger?</v>
      </c>
      <c r="U2" s="2" t="str">
        <f t="shared" ref="U2:U31" si="2">IF(C2="","","Why it’s worth it: " &amp; E2 &amp; " Features: " &amp; SUBSTITUTE(F2,";"," • ") &amp; ". Great for: " &amp; G2 &amp; ". Keywords: " &amp; H2 &amp; " " &amp; K2)</f>
        <v>Why it’s worth it: Never run out of battery on the go with 20000mAh capacity Features: 20000mAh capacity •  Charges iPhone 5 times •  Dual USB ports •  Fast charging •  Compact design. Great for: travelers and commuters. Keywords: portable charger, power bank, phone charger, travel accessories, USB charger, battery pack, Anker, mobile charging As an Amazon Associate I earn from qualifying purchases. #ad</v>
      </c>
      <c r="V2" s="2" t="str">
        <f>IF(B2="","",IFERROR(VLOOKUP(B2,Boards0!A:B,2,FALSE),"General Finds"))</f>
        <v>Smart Electronics Finds</v>
      </c>
      <c r="W2" s="2" t="str">
        <f t="shared" ref="W2:W31" si="3">IF(A2="","",TEXT(TODAY(),"yyyy-mm-dd") &amp; "_" &amp; N2 &amp; "_" &amp; A2 &amp; ".png")</f>
        <v>2026-01-08_T1_PROD001.png</v>
      </c>
    </row>
    <row r="3">
      <c r="A3" s="1" t="s">
        <v>50</v>
      </c>
      <c r="B3" s="1" t="s">
        <v>26</v>
      </c>
      <c r="C3" s="1" t="s">
        <v>51</v>
      </c>
      <c r="D3" s="1" t="s">
        <v>52</v>
      </c>
      <c r="E3" s="1" t="s">
        <v>53</v>
      </c>
      <c r="F3" s="1" t="s">
        <v>54</v>
      </c>
      <c r="G3" s="1" t="s">
        <v>55</v>
      </c>
      <c r="H3" s="1" t="s">
        <v>56</v>
      </c>
      <c r="I3" s="1" t="s">
        <v>43</v>
      </c>
      <c r="J3" s="4" t="s">
        <v>57</v>
      </c>
      <c r="K3" s="1" t="s">
        <v>23</v>
      </c>
      <c r="L3" s="1" t="s">
        <v>58</v>
      </c>
      <c r="M3" s="1" t="s">
        <v>59</v>
      </c>
      <c r="N3" s="1" t="s">
        <v>60</v>
      </c>
      <c r="O3" s="1" t="s">
        <v>61</v>
      </c>
      <c r="P3" s="1" t="s">
        <v>49</v>
      </c>
      <c r="R3" s="1">
        <v>4.0</v>
      </c>
      <c r="S3" s="2" t="str">
        <f t="shared" si="1"/>
        <v>Instant Pot Duo 7-in-1 Electric Pressure Cooker — Easy upgrade for busy families and meal preppers</v>
      </c>
      <c r="T3" s="2" t="str">
        <f>IFERROR(__xludf.DUMMYFUNCTION("IF(C3="""","""",IF(M3=""Question"",""Still dealing with "" &amp; LOWER(REGEXREPLACE(SPLIT(H3,"","",TRUE,TRUE),""\s+$"","""")) &amp; ""?"", IF(M3=""Bold Claim"", ""Fix this in 5 minutes"", IF(M3=""Stop Doing This"", ""Stop struggling with this"", IF(M3=""3 Things"&amp;""", ""3 reasons you’ll love this"", ""Best pick for "" &amp; G3)))))"),"Fix this in 5 minutes")</f>
        <v>Fix this in 5 minutes</v>
      </c>
      <c r="U3" s="2" t="str">
        <f t="shared" si="2"/>
        <v>Why it’s worth it: Cook meals 70% faster with this versatile 7-in-1 appliance Features: 7 cooking functions •  6-quart capacity •  Programmable timer •  Stainless steel •  Energy efficient. Great for: busy families and meal preppers. Keywords: instant pot, pressure cooker, slow cooker, rice cooker, kitchen appliances, meal prep, cooking, time saver As an Amazon Associate I earn from qualifying purchases. #ad</v>
      </c>
      <c r="V3" s="2" t="str">
        <f>IF(B3="","",IFERROR(VLOOKUP(B3,Boards0!A:B,2,FALSE),"General Finds"))</f>
        <v>Kitchen Upgrades &amp; Must-Haves</v>
      </c>
      <c r="W3" s="2" t="str">
        <f t="shared" si="3"/>
        <v>2026-01-08_T2_PROD002.png</v>
      </c>
    </row>
    <row r="4">
      <c r="A4" s="1" t="s">
        <v>62</v>
      </c>
      <c r="B4" s="1" t="s">
        <v>30</v>
      </c>
      <c r="C4" s="1" t="s">
        <v>63</v>
      </c>
      <c r="D4" s="1" t="s">
        <v>64</v>
      </c>
      <c r="E4" s="1" t="s">
        <v>65</v>
      </c>
      <c r="F4" s="1" t="s">
        <v>66</v>
      </c>
      <c r="G4" s="1" t="s">
        <v>67</v>
      </c>
      <c r="H4" s="1" t="s">
        <v>68</v>
      </c>
      <c r="I4" s="1" t="s">
        <v>69</v>
      </c>
      <c r="J4" s="4" t="s">
        <v>57</v>
      </c>
      <c r="K4" s="1" t="s">
        <v>23</v>
      </c>
      <c r="L4" s="1" t="s">
        <v>70</v>
      </c>
      <c r="M4" s="1" t="s">
        <v>71</v>
      </c>
      <c r="N4" s="1" t="s">
        <v>72</v>
      </c>
      <c r="O4" s="1" t="s">
        <v>73</v>
      </c>
      <c r="P4" s="1" t="s">
        <v>49</v>
      </c>
      <c r="R4" s="1">
        <v>3.0</v>
      </c>
      <c r="S4" s="2" t="str">
        <f t="shared" si="1"/>
        <v>Resistance Bands Set with Handles — Best pick for home workouts and travelers</v>
      </c>
      <c r="T4" s="2" t="str">
        <f>IFERROR(__xludf.DUMMYFUNCTION("IF(C4="""","""",IF(M4=""Question"",""Still dealing with "" &amp; LOWER(REGEXREPLACE(SPLIT(H4,"","",TRUE,TRUE),""\s+$"","""")) &amp; ""?"", IF(M4=""Bold Claim"", ""Fix this in 5 minutes"", IF(M4=""Stop Doing This"", ""Stop struggling with this"", IF(M4=""3 Things"&amp;""", ""3 reasons you’ll love this"", ""Best pick for "" &amp; G4)))))"),"3 reasons you’ll love this")</f>
        <v>3 reasons you’ll love this</v>
      </c>
      <c r="U4" s="2" t="str">
        <f t="shared" si="2"/>
        <v>Why it’s worth it: Get a full-body workout anywhere with portable resistance bands Features: 5 resistance levels •  Door anchor included •  Comfortable handles •  Carrying bag •  Exercise guide. Great for: home workouts and travelers. Keywords: resistance bands, workout bands, exercise equipment, home gym, fitness, strength training, portable gym As an Amazon Associate I earn from qualifying purchases. #ad</v>
      </c>
      <c r="V4" s="2" t="str">
        <f>IF(B4="","",IFERROR(VLOOKUP(B4,Boards0!A:B,2,FALSE),"General Finds"))</f>
        <v>Home Gym Essentials</v>
      </c>
      <c r="W4" s="2" t="str">
        <f t="shared" si="3"/>
        <v>2026-01-08_T3_PROD003.png</v>
      </c>
    </row>
    <row r="5">
      <c r="A5" s="1" t="s">
        <v>74</v>
      </c>
      <c r="B5" s="1" t="s">
        <v>28</v>
      </c>
      <c r="C5" s="1" t="s">
        <v>75</v>
      </c>
      <c r="D5" s="1" t="s">
        <v>76</v>
      </c>
      <c r="E5" s="1" t="s">
        <v>77</v>
      </c>
      <c r="F5" s="1" t="s">
        <v>78</v>
      </c>
      <c r="G5" s="1" t="s">
        <v>79</v>
      </c>
      <c r="H5" s="1" t="s">
        <v>80</v>
      </c>
      <c r="I5" s="1" t="s">
        <v>81</v>
      </c>
      <c r="J5" s="4" t="s">
        <v>57</v>
      </c>
      <c r="K5" s="1" t="s">
        <v>23</v>
      </c>
      <c r="L5" s="1" t="s">
        <v>58</v>
      </c>
      <c r="M5" s="1" t="s">
        <v>82</v>
      </c>
      <c r="N5" s="1" t="s">
        <v>83</v>
      </c>
      <c r="O5" s="1" t="s">
        <v>84</v>
      </c>
      <c r="P5" s="1" t="s">
        <v>49</v>
      </c>
      <c r="R5" s="1">
        <v>4.0</v>
      </c>
      <c r="S5" s="2" t="str">
        <f t="shared" si="1"/>
        <v>DEWALT 20V MAX Cordless Drill Combo Kit — Easy upgrade for DIY enthusiasts and homeowners</v>
      </c>
      <c r="T5" s="2" t="str">
        <f>IFERROR(__xludf.DUMMYFUNCTION("IF(C5="""","""",IF(M5=""Question"",""Still dealing with "" &amp; LOWER(REGEXREPLACE(SPLIT(H5,"","",TRUE,TRUE),""\s+$"","""")) &amp; ""?"", IF(M5=""Bold Claim"", ""Fix this in 5 minutes"", IF(M5=""Stop Doing This"", ""Stop struggling with this"", IF(M5=""3 Things"&amp;""", ""3 reasons you’ll love this"", ""Best pick for "" &amp; G5)))))"),"Best pick for DIY enthusiasts and homeowners")</f>
        <v>Best pick for DIY enthusiasts and homeowners</v>
      </c>
      <c r="U5" s="2" t="str">
        <f t="shared" si="2"/>
        <v>Why it’s worth it: Professional-grade power tools for any DIY project Features: 20V lithium battery •  2-speed transmission •  LED work light •  Compact design •  Includes 2 batteries. Great for: DIY enthusiasts and homeowners. Keywords: cordless drill, power tools, DEWALT, drill kit, home improvement, DIY tools, battery drill As an Amazon Associate I earn from qualifying purchases. #ad</v>
      </c>
      <c r="V5" s="2" t="str">
        <f>IF(B5="","",IFERROR(VLOOKUP(B5,Boards0!A:B,2,FALSE),"General Finds"))</f>
        <v>Tools That Save Time</v>
      </c>
      <c r="W5" s="2" t="str">
        <f t="shared" si="3"/>
        <v>2026-01-08_T4_PROD004.png</v>
      </c>
    </row>
    <row r="6">
      <c r="A6" s="1" t="s">
        <v>85</v>
      </c>
      <c r="B6" s="1" t="s">
        <v>32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43</v>
      </c>
      <c r="J6" s="4" t="s">
        <v>57</v>
      </c>
      <c r="K6" s="1" t="s">
        <v>23</v>
      </c>
      <c r="L6" s="1" t="s">
        <v>45</v>
      </c>
      <c r="M6" s="1" t="s">
        <v>92</v>
      </c>
      <c r="N6" s="1" t="s">
        <v>93</v>
      </c>
      <c r="O6" s="1" t="s">
        <v>94</v>
      </c>
      <c r="P6" s="1" t="s">
        <v>49</v>
      </c>
      <c r="R6" s="1">
        <v>5.0</v>
      </c>
      <c r="S6" s="2" t="str">
        <f t="shared" si="1"/>
        <v>VIOFO Dash Cam Front and Rear Camera — Best pick for daily drivers and road trippers</v>
      </c>
      <c r="T6" s="2" t="str">
        <f>IFERROR(__xludf.DUMMYFUNCTION("IF(C6="""","""",IF(M6=""Question"",""Still dealing with "" &amp; LOWER(REGEXREPLACE(SPLIT(H6,"","",TRUE,TRUE),""\s+$"","""")) &amp; ""?"", IF(M6=""Bold Claim"", ""Fix this in 5 minutes"", IF(M6=""Stop Doing This"", ""Stop struggling with this"", IF(M6=""3 Things"&amp;""", ""3 reasons you’ll love this"", ""Best pick for "" &amp; G6)))))"),"Stop struggling with this")</f>
        <v>Stop struggling with this</v>
      </c>
      <c r="U6" s="2" t="str">
        <f t="shared" si="2"/>
        <v>Why it’s worth it: Protect yourself with 24/7 recording and parking mode Features: 1080P front and rear •  Night vision •  G-sensor •  Loop recording •  32GB SD card included. Great for: daily drivers and road trippers. Keywords: dash cam, car camera, driving recorder, car accessories, safety, parking camera, vehicle security As an Amazon Associate I earn from qualifying purchases. #ad</v>
      </c>
      <c r="V6" s="2" t="str">
        <f>IF(B6="","",IFERROR(VLOOKUP(B6,Boards0!A:B,2,FALSE),"General Finds"))</f>
        <v>Car Accessories &amp; Upgrades</v>
      </c>
      <c r="W6" s="2" t="str">
        <f t="shared" si="3"/>
        <v>2026-01-08_T5_PROD005.png</v>
      </c>
    </row>
    <row r="7">
      <c r="A7" s="1" t="s">
        <v>95</v>
      </c>
      <c r="B7" s="1" t="s">
        <v>34</v>
      </c>
      <c r="C7" s="1" t="s">
        <v>96</v>
      </c>
      <c r="D7" s="1" t="s">
        <v>97</v>
      </c>
      <c r="E7" s="1" t="s">
        <v>98</v>
      </c>
      <c r="F7" s="1" t="s">
        <v>99</v>
      </c>
      <c r="G7" s="1" t="s">
        <v>100</v>
      </c>
      <c r="H7" s="1" t="s">
        <v>101</v>
      </c>
      <c r="I7" s="1" t="s">
        <v>81</v>
      </c>
      <c r="J7" s="4" t="s">
        <v>57</v>
      </c>
      <c r="K7" s="1" t="s">
        <v>23</v>
      </c>
      <c r="L7" s="1" t="s">
        <v>58</v>
      </c>
      <c r="M7" s="1" t="s">
        <v>82</v>
      </c>
      <c r="N7" s="1" t="s">
        <v>47</v>
      </c>
      <c r="O7" s="1" t="s">
        <v>102</v>
      </c>
      <c r="P7" s="1" t="s">
        <v>49</v>
      </c>
      <c r="R7" s="1">
        <v>4.0</v>
      </c>
      <c r="S7" s="2" t="str">
        <f t="shared" si="1"/>
        <v>Logitech MX Master 3 Wireless Mouse — Easy upgrade for professionals and content creators</v>
      </c>
      <c r="T7" s="2" t="str">
        <f>IFERROR(__xludf.DUMMYFUNCTION("IF(C7="""","""",IF(M7=""Question"",""Still dealing with "" &amp; LOWER(REGEXREPLACE(SPLIT(H7,"","",TRUE,TRUE),""\s+$"","""")) &amp; ""?"", IF(M7=""Bold Claim"", ""Fix this in 5 minutes"", IF(M7=""Stop Doing This"", ""Stop struggling with this"", IF(M7=""3 Things"&amp;""", ""3 reasons you’ll love this"", ""Best pick for "" &amp; G7)))))"),"Best pick for professionals and content creators")</f>
        <v>Best pick for professionals and content creators</v>
      </c>
      <c r="U7" s="2" t="str">
        <f t="shared" si="2"/>
        <v>Why it’s worth it: Boost productivity with ultra-precise scrolling and customizable buttons Features: MagSpeed scrolling •  Ergonomic design •  Multi-device connectivity •  USB-C charging •  Customizable buttons. Great for: professionals and content creators. Keywords: wireless mouse, ergonomic mouse, Logitech, productivity, computer accessories, desk setup, office gear As an Amazon Associate I earn from qualifying purchases. #ad</v>
      </c>
      <c r="V7" s="2" t="str">
        <f>IF(B7="","",IFERROR(VLOOKUP(B7,Boards0!A:B,2,FALSE),"General Finds"))</f>
        <v>Desk Setup &amp; Accessories</v>
      </c>
      <c r="W7" s="2" t="str">
        <f t="shared" si="3"/>
        <v>2026-01-08_T1_PROD006.png</v>
      </c>
    </row>
    <row r="8">
      <c r="A8" s="1" t="s">
        <v>103</v>
      </c>
      <c r="B8" s="1" t="s">
        <v>24</v>
      </c>
      <c r="C8" s="1" t="s">
        <v>104</v>
      </c>
      <c r="D8" s="1" t="s">
        <v>105</v>
      </c>
      <c r="E8" s="1" t="s">
        <v>106</v>
      </c>
      <c r="F8" s="1" t="s">
        <v>107</v>
      </c>
      <c r="G8" s="1" t="s">
        <v>108</v>
      </c>
      <c r="H8" s="1" t="s">
        <v>109</v>
      </c>
      <c r="I8" s="1" t="s">
        <v>81</v>
      </c>
      <c r="J8" s="4" t="s">
        <v>57</v>
      </c>
      <c r="K8" s="1" t="s">
        <v>23</v>
      </c>
      <c r="L8" s="1" t="s">
        <v>58</v>
      </c>
      <c r="M8" s="1" t="s">
        <v>46</v>
      </c>
      <c r="N8" s="1" t="s">
        <v>60</v>
      </c>
      <c r="O8" s="1" t="s">
        <v>48</v>
      </c>
      <c r="P8" s="1" t="s">
        <v>49</v>
      </c>
      <c r="R8" s="1">
        <v>5.0</v>
      </c>
      <c r="S8" s="2" t="str">
        <f t="shared" si="1"/>
        <v>Apple AirPods Pro 2nd Generation — Easy upgrade for music lovers and commuters</v>
      </c>
      <c r="T8" s="2" t="str">
        <f>IFERROR(__xludf.DUMMYFUNCTION("IF(C8="""","""",IF(M8=""Question"",""Still dealing with "" &amp; LOWER(REGEXREPLACE(SPLIT(H8,"","",TRUE,TRUE),""\s+$"","""")) &amp; ""?"", IF(M8=""Bold Claim"", ""Fix this in 5 minutes"", IF(M8=""Stop Doing This"", ""Stop struggling with this"", IF(M8=""3 Things"&amp;""", ""3 reasons you’ll love this"", ""Best pick for "" &amp; G8)))))"),"Still dealing with airpods?")</f>
        <v>Still dealing with airpods?</v>
      </c>
      <c r="U8" s="2" t="str">
        <f t="shared" si="2"/>
        <v>Why it’s worth it: Experience immersive sound with active noise cancellation Features: Active noise cancellation •  Transparency mode •  Spatial audio •  6-hour battery •  MagSafe charging. Great for: music lovers and commuters. Keywords: AirPods, wireless earbuds, Apple, noise cancelling, earphones, Bluetooth headphones, audio As an Amazon Associate I earn from qualifying purchases. #ad</v>
      </c>
      <c r="V8" s="2" t="str">
        <f>IF(B8="","",IFERROR(VLOOKUP(B8,Boards0!A:B,2,FALSE),"General Finds"))</f>
        <v>Smart Electronics Finds</v>
      </c>
      <c r="W8" s="2" t="str">
        <f t="shared" si="3"/>
        <v>2026-01-08_T2_PROD007.png</v>
      </c>
    </row>
    <row r="9">
      <c r="A9" s="1" t="s">
        <v>110</v>
      </c>
      <c r="B9" s="1" t="s">
        <v>26</v>
      </c>
      <c r="C9" s="1" t="s">
        <v>111</v>
      </c>
      <c r="D9" s="1" t="s">
        <v>112</v>
      </c>
      <c r="E9" s="1" t="s">
        <v>113</v>
      </c>
      <c r="F9" s="1" t="s">
        <v>114</v>
      </c>
      <c r="G9" s="1" t="s">
        <v>115</v>
      </c>
      <c r="H9" s="1" t="s">
        <v>116</v>
      </c>
      <c r="I9" s="1" t="s">
        <v>43</v>
      </c>
      <c r="J9" s="4" t="s">
        <v>57</v>
      </c>
      <c r="K9" s="1" t="s">
        <v>23</v>
      </c>
      <c r="L9" s="1" t="s">
        <v>45</v>
      </c>
      <c r="M9" s="1" t="s">
        <v>59</v>
      </c>
      <c r="N9" s="1" t="s">
        <v>72</v>
      </c>
      <c r="O9" s="1" t="s">
        <v>61</v>
      </c>
      <c r="P9" s="1" t="s">
        <v>49</v>
      </c>
      <c r="R9" s="1">
        <v>4.0</v>
      </c>
      <c r="S9" s="2" t="str">
        <f t="shared" si="1"/>
        <v>Ninja Air Fryer 4-Quart — Best pick for health-conscious cooks and small families</v>
      </c>
      <c r="T9" s="2" t="str">
        <f>IFERROR(__xludf.DUMMYFUNCTION("IF(C9="""","""",IF(M9=""Question"",""Still dealing with "" &amp; LOWER(REGEXREPLACE(SPLIT(H9,"","",TRUE,TRUE),""\s+$"","""")) &amp; ""?"", IF(M9=""Bold Claim"", ""Fix this in 5 minutes"", IF(M9=""Stop Doing This"", ""Stop struggling with this"", IF(M9=""3 Things"&amp;""", ""3 reasons you’ll love this"", ""Best pick for "" &amp; G9)))))"),"Fix this in 5 minutes")</f>
        <v>Fix this in 5 minutes</v>
      </c>
      <c r="U9" s="2" t="str">
        <f t="shared" si="2"/>
        <v>Why it’s worth it: Enjoy crispy fried foods with 75% less fat Features: 4-quart capacity •  400°F max temp •  Easy to clean •  Dishwasher safe •  Compact design. Great for: health-conscious cooks and small families. Keywords: air fryer, Ninja, healthy cooking, kitchen appliances, oil-free fryer, countertop cooker As an Amazon Associate I earn from qualifying purchases. #ad</v>
      </c>
      <c r="V9" s="2" t="str">
        <f>IF(B9="","",IFERROR(VLOOKUP(B9,Boards0!A:B,2,FALSE),"General Finds"))</f>
        <v>Kitchen Upgrades &amp; Must-Haves</v>
      </c>
      <c r="W9" s="2" t="str">
        <f t="shared" si="3"/>
        <v>2026-01-08_T3_PROD008.png</v>
      </c>
    </row>
    <row r="10">
      <c r="A10" s="1" t="s">
        <v>117</v>
      </c>
      <c r="B10" s="1" t="s">
        <v>30</v>
      </c>
      <c r="C10" s="1" t="s">
        <v>118</v>
      </c>
      <c r="D10" s="1" t="s">
        <v>119</v>
      </c>
      <c r="E10" s="1" t="s">
        <v>120</v>
      </c>
      <c r="F10" s="1" t="s">
        <v>121</v>
      </c>
      <c r="G10" s="1" t="s">
        <v>122</v>
      </c>
      <c r="H10" s="1" t="s">
        <v>123</v>
      </c>
      <c r="I10" s="1" t="s">
        <v>43</v>
      </c>
      <c r="J10" s="4" t="s">
        <v>57</v>
      </c>
      <c r="K10" s="1" t="s">
        <v>23</v>
      </c>
      <c r="L10" s="1" t="s">
        <v>58</v>
      </c>
      <c r="M10" s="1" t="s">
        <v>71</v>
      </c>
      <c r="N10" s="1" t="s">
        <v>83</v>
      </c>
      <c r="O10" s="1" t="s">
        <v>73</v>
      </c>
      <c r="P10" s="1" t="s">
        <v>49</v>
      </c>
      <c r="R10" s="1">
        <v>3.0</v>
      </c>
      <c r="S10" s="2" t="str">
        <f t="shared" si="1"/>
        <v>Fitbit Charge 6 Fitness Tracker — Easy upgrade for fitness enthusiasts and health trackers</v>
      </c>
      <c r="T10" s="2" t="str">
        <f>IFERROR(__xludf.DUMMYFUNCTION("IF(C10="""","""",IF(M10=""Question"",""Still dealing with "" &amp; LOWER(REGEXREPLACE(SPLIT(H10,"","",TRUE,TRUE),""\s+$"","""")) &amp; ""?"", IF(M10=""Bold Claim"", ""Fix this in 5 minutes"", IF(M10=""Stop Doing This"", ""Stop struggling with this"", IF(M10=""3 T"&amp;"hings"", ""3 reasons you’ll love this"", ""Best pick for "" &amp; G10)))))"),"3 reasons you’ll love this")</f>
        <v>3 reasons you’ll love this</v>
      </c>
      <c r="U10" s="2" t="str">
        <f t="shared" si="2"/>
        <v>Why it’s worth it: Track your health 24/7 with advanced fitness metrics Features: Heart rate monitor •  Sleep tracking •  GPS •  7-day battery •  Water resistant •  Stress management. Great for: fitness enthusiasts and health trackers. Keywords: Fitbit, fitness tracker, smartwatch, health monitor, activity tracker, step counter, heart rate As an Amazon Associate I earn from qualifying purchases. #ad</v>
      </c>
      <c r="V10" s="2" t="str">
        <f>IF(B10="","",IFERROR(VLOOKUP(B10,Boards0!A:B,2,FALSE),"General Finds"))</f>
        <v>Home Gym Essentials</v>
      </c>
      <c r="W10" s="2" t="str">
        <f t="shared" si="3"/>
        <v>2026-01-08_T4_PROD009.png</v>
      </c>
    </row>
    <row r="11">
      <c r="A11" s="1" t="s">
        <v>124</v>
      </c>
      <c r="B11" s="1" t="s">
        <v>28</v>
      </c>
      <c r="C11" s="1" t="s">
        <v>125</v>
      </c>
      <c r="D11" s="1" t="s">
        <v>126</v>
      </c>
      <c r="E11" s="1" t="s">
        <v>127</v>
      </c>
      <c r="F11" s="1" t="s">
        <v>128</v>
      </c>
      <c r="G11" s="1" t="s">
        <v>129</v>
      </c>
      <c r="H11" s="1" t="s">
        <v>130</v>
      </c>
      <c r="I11" s="1" t="s">
        <v>69</v>
      </c>
      <c r="J11" s="4" t="s">
        <v>57</v>
      </c>
      <c r="K11" s="1" t="s">
        <v>23</v>
      </c>
      <c r="L11" s="1" t="s">
        <v>70</v>
      </c>
      <c r="M11" s="1" t="s">
        <v>82</v>
      </c>
      <c r="N11" s="1" t="s">
        <v>93</v>
      </c>
      <c r="O11" s="1" t="s">
        <v>84</v>
      </c>
      <c r="P11" s="1" t="s">
        <v>49</v>
      </c>
      <c r="R11" s="1">
        <v>3.0</v>
      </c>
      <c r="S11" s="2" t="str">
        <f t="shared" si="1"/>
        <v>BLACK+DECKER 20V MAX Cordless Drill — Best pick for homeowners and DIYers</v>
      </c>
      <c r="T11" s="2" t="str">
        <f>IFERROR(__xludf.DUMMYFUNCTION("IF(C11="""","""",IF(M11=""Question"",""Still dealing with "" &amp; LOWER(REGEXREPLACE(SPLIT(H11,"","",TRUE,TRUE),""\s+$"","""")) &amp; ""?"", IF(M11=""Bold Claim"", ""Fix this in 5 minutes"", IF(M11=""Stop Doing This"", ""Stop struggling with this"", IF(M11=""3 T"&amp;"hings"", ""3 reasons you’ll love this"", ""Best pick for "" &amp; G11)))))"),"Best pick for homeowners and DIYers")</f>
        <v>Best pick for homeowners and DIYers</v>
      </c>
      <c r="U11" s="2" t="str">
        <f t="shared" si="2"/>
        <v>Why it’s worth it: Tackle home projects with this reliable cordless drill Features: 20V MAX battery •  11-position clutch •  LED work light •  Compact •  Includes battery and charger. Great for: homeowners and DIYers. Keywords: cordless drill, BLACK+DECKER, power drill, home tools, battery drill, DIY, home improvement As an Amazon Associate I earn from qualifying purchases. #ad</v>
      </c>
      <c r="V11" s="2" t="str">
        <f>IF(B11="","",IFERROR(VLOOKUP(B11,Boards0!A:B,2,FALSE),"General Finds"))</f>
        <v>Tools That Save Time</v>
      </c>
      <c r="W11" s="2" t="str">
        <f t="shared" si="3"/>
        <v>2026-01-08_T5_PROD010.png</v>
      </c>
    </row>
    <row r="12">
      <c r="A12" s="1" t="s">
        <v>131</v>
      </c>
      <c r="B12" s="1" t="s">
        <v>32</v>
      </c>
      <c r="C12" s="1" t="s">
        <v>132</v>
      </c>
      <c r="D12" s="1" t="s">
        <v>133</v>
      </c>
      <c r="E12" s="1" t="s">
        <v>134</v>
      </c>
      <c r="F12" s="1" t="s">
        <v>135</v>
      </c>
      <c r="G12" s="1" t="s">
        <v>136</v>
      </c>
      <c r="H12" s="1" t="s">
        <v>137</v>
      </c>
      <c r="I12" s="1" t="s">
        <v>43</v>
      </c>
      <c r="J12" s="4" t="s">
        <v>57</v>
      </c>
      <c r="K12" s="1" t="s">
        <v>23</v>
      </c>
      <c r="L12" s="1" t="s">
        <v>45</v>
      </c>
      <c r="M12" s="1" t="s">
        <v>46</v>
      </c>
      <c r="N12" s="1" t="s">
        <v>47</v>
      </c>
      <c r="O12" s="1" t="s">
        <v>94</v>
      </c>
      <c r="P12" s="1" t="s">
        <v>49</v>
      </c>
      <c r="R12" s="1">
        <v>4.0</v>
      </c>
      <c r="S12" s="2" t="str">
        <f t="shared" si="1"/>
        <v>WeatherTech All-Weather Floor Mats — Best pick for car owners and detailing enthusiasts</v>
      </c>
      <c r="T12" s="2" t="str">
        <f>IFERROR(__xludf.DUMMYFUNCTION("IF(C12="""","""",IF(M12=""Question"",""Still dealing with "" &amp; LOWER(REGEXREPLACE(SPLIT(H12,"","",TRUE,TRUE),""\s+$"","""")) &amp; ""?"", IF(M12=""Bold Claim"", ""Fix this in 5 minutes"", IF(M12=""Stop Doing This"", ""Stop struggling with this"", IF(M12=""3 T"&amp;"hings"", ""3 reasons you’ll love this"", ""Best pick for "" &amp; G12)))))"),"Still dealing with floor mats?")</f>
        <v>Still dealing with floor mats?</v>
      </c>
      <c r="U12" s="2" t="str">
        <f t="shared" si="2"/>
        <v>Why it’s worth it: Keep your car interior pristine with custom-fit floor mats Features: Custom fit •  All-weather protection •  Easy to clean •  Raised edges •  Made in USA. Great for: car owners and detailing enthusiasts. Keywords: floor mats, car mats, WeatherTech, auto accessories, car interior, all-weather mats, vehicle protection As an Amazon Associate I earn from qualifying purchases. #ad</v>
      </c>
      <c r="V12" s="2" t="str">
        <f>IF(B12="","",IFERROR(VLOOKUP(B12,Boards0!A:B,2,FALSE),"General Finds"))</f>
        <v>Car Accessories &amp; Upgrades</v>
      </c>
      <c r="W12" s="2" t="str">
        <f t="shared" si="3"/>
        <v>2026-01-08_T1_PROD011.png</v>
      </c>
    </row>
    <row r="13">
      <c r="A13" s="1" t="s">
        <v>138</v>
      </c>
      <c r="B13" s="1" t="s">
        <v>34</v>
      </c>
      <c r="C13" s="1" t="s">
        <v>139</v>
      </c>
      <c r="D13" s="1" t="s">
        <v>140</v>
      </c>
      <c r="E13" s="1" t="s">
        <v>141</v>
      </c>
      <c r="F13" s="1" t="s">
        <v>142</v>
      </c>
      <c r="G13" s="1" t="s">
        <v>143</v>
      </c>
      <c r="H13" s="1" t="s">
        <v>144</v>
      </c>
      <c r="I13" s="1" t="s">
        <v>69</v>
      </c>
      <c r="J13" s="4" t="s">
        <v>57</v>
      </c>
      <c r="K13" s="1" t="s">
        <v>23</v>
      </c>
      <c r="L13" s="1" t="s">
        <v>58</v>
      </c>
      <c r="M13" s="1" t="s">
        <v>59</v>
      </c>
      <c r="N13" s="1" t="s">
        <v>60</v>
      </c>
      <c r="O13" s="1" t="s">
        <v>102</v>
      </c>
      <c r="P13" s="1" t="s">
        <v>49</v>
      </c>
      <c r="R13" s="1">
        <v>3.0</v>
      </c>
      <c r="S13" s="2" t="str">
        <f t="shared" si="1"/>
        <v>Mechanical Keyboard RGB Backlit — Easy upgrade for gamers and typists</v>
      </c>
      <c r="T13" s="2" t="str">
        <f>IFERROR(__xludf.DUMMYFUNCTION("IF(C13="""","""",IF(M13=""Question"",""Still dealing with "" &amp; LOWER(REGEXREPLACE(SPLIT(H13,"","",TRUE,TRUE),""\s+$"","""")) &amp; ""?"", IF(M13=""Bold Claim"", ""Fix this in 5 minutes"", IF(M13=""Stop Doing This"", ""Stop struggling with this"", IF(M13=""3 T"&amp;"hings"", ""3 reasons you’ll love this"", ""Best pick for "" &amp; G13)))))"),"Fix this in 5 minutes")</f>
        <v>Fix this in 5 minutes</v>
      </c>
      <c r="U13" s="2" t="str">
        <f t="shared" si="2"/>
        <v>Why it’s worth it: Enhance your typing experience with tactile mechanical switches Features: RGB backlight •  Mechanical switches •  Anti-ghosting •  Ergonomic •  Durable construction. Great for: gamers and typists. Keywords: mechanical keyboard, gaming keyboard, RGB keyboard, Redragon, computer accessories, backlit keyboard As an Amazon Associate I earn from qualifying purchases. #ad</v>
      </c>
      <c r="V13" s="2" t="str">
        <f>IF(B13="","",IFERROR(VLOOKUP(B13,Boards0!A:B,2,FALSE),"General Finds"))</f>
        <v>Desk Setup &amp; Accessories</v>
      </c>
      <c r="W13" s="2" t="str">
        <f t="shared" si="3"/>
        <v>2026-01-08_T2_PROD012.png</v>
      </c>
    </row>
    <row r="14">
      <c r="A14" s="1" t="s">
        <v>145</v>
      </c>
      <c r="B14" s="1" t="s">
        <v>24</v>
      </c>
      <c r="C14" s="1" t="s">
        <v>146</v>
      </c>
      <c r="D14" s="1" t="s">
        <v>147</v>
      </c>
      <c r="E14" s="1" t="s">
        <v>148</v>
      </c>
      <c r="F14" s="1" t="s">
        <v>149</v>
      </c>
      <c r="G14" s="1" t="s">
        <v>150</v>
      </c>
      <c r="H14" s="1" t="s">
        <v>151</v>
      </c>
      <c r="I14" s="1" t="s">
        <v>81</v>
      </c>
      <c r="J14" s="4" t="s">
        <v>57</v>
      </c>
      <c r="K14" s="1" t="s">
        <v>23</v>
      </c>
      <c r="L14" s="1" t="s">
        <v>58</v>
      </c>
      <c r="M14" s="1" t="s">
        <v>46</v>
      </c>
      <c r="N14" s="1" t="s">
        <v>72</v>
      </c>
      <c r="O14" s="1" t="s">
        <v>48</v>
      </c>
      <c r="P14" s="1" t="s">
        <v>49</v>
      </c>
      <c r="R14" s="1">
        <v>5.0</v>
      </c>
      <c r="S14" s="2" t="str">
        <f t="shared" si="1"/>
        <v>Samsung 65-Inch 4K Smart TV — Easy upgrade for home entertainment enthusiasts</v>
      </c>
      <c r="T14" s="2" t="str">
        <f>IFERROR(__xludf.DUMMYFUNCTION("IF(C14="""","""",IF(M14=""Question"",""Still dealing with "" &amp; LOWER(REGEXREPLACE(SPLIT(H14,"","",TRUE,TRUE),""\s+$"","""")) &amp; ""?"", IF(M14=""Bold Claim"", ""Fix this in 5 minutes"", IF(M14=""Stop Doing This"", ""Stop struggling with this"", IF(M14=""3 T"&amp;"hings"", ""3 reasons you’ll love this"", ""Best pick for "" &amp; G14)))))"),"Still dealing with 4k tv?")</f>
        <v>Still dealing with 4k tv?</v>
      </c>
      <c r="U14" s="2" t="str">
        <f t="shared" si="2"/>
        <v>Why it’s worth it: Transform your living room with stunning 4K picture quality Features: 65-inch 4K display •  Smart TV features •  HDR support •  Voice control •  Multiple HDMI ports. Great for: home entertainment enthusiasts. Keywords: 4K TV, Samsung TV, smart TV, large screen TV, home theater, streaming TV, entertainment As an Amazon Associate I earn from qualifying purchases. #ad</v>
      </c>
      <c r="V14" s="2" t="str">
        <f>IF(B14="","",IFERROR(VLOOKUP(B14,Boards0!A:B,2,FALSE),"General Finds"))</f>
        <v>Smart Electronics Finds</v>
      </c>
      <c r="W14" s="2" t="str">
        <f t="shared" si="3"/>
        <v>2026-01-08_T3_PROD013.png</v>
      </c>
    </row>
    <row r="15">
      <c r="A15" s="1" t="s">
        <v>152</v>
      </c>
      <c r="B15" s="1" t="s">
        <v>26</v>
      </c>
      <c r="C15" s="1" t="s">
        <v>153</v>
      </c>
      <c r="D15" s="1" t="s">
        <v>154</v>
      </c>
      <c r="E15" s="1" t="s">
        <v>155</v>
      </c>
      <c r="F15" s="1" t="s">
        <v>156</v>
      </c>
      <c r="G15" s="1" t="s">
        <v>157</v>
      </c>
      <c r="H15" s="1" t="s">
        <v>158</v>
      </c>
      <c r="I15" s="1" t="s">
        <v>43</v>
      </c>
      <c r="J15" s="4" t="s">
        <v>57</v>
      </c>
      <c r="K15" s="1" t="s">
        <v>23</v>
      </c>
      <c r="L15" s="1" t="s">
        <v>70</v>
      </c>
      <c r="M15" s="1" t="s">
        <v>71</v>
      </c>
      <c r="N15" s="1" t="s">
        <v>83</v>
      </c>
      <c r="O15" s="1" t="s">
        <v>61</v>
      </c>
      <c r="P15" s="1" t="s">
        <v>49</v>
      </c>
      <c r="R15" s="1">
        <v>4.0</v>
      </c>
      <c r="S15" s="2" t="str">
        <f t="shared" si="1"/>
        <v>Keurig K-Elite Coffee Maker — Best pick for coffee lovers and busy professionals</v>
      </c>
      <c r="T15" s="2" t="str">
        <f>IFERROR(__xludf.DUMMYFUNCTION("IF(C15="""","""",IF(M15=""Question"",""Still dealing with "" &amp; LOWER(REGEXREPLACE(SPLIT(H15,"","",TRUE,TRUE),""\s+$"","""")) &amp; ""?"", IF(M15=""Bold Claim"", ""Fix this in 5 minutes"", IF(M15=""Stop Doing This"", ""Stop struggling with this"", IF(M15=""3 T"&amp;"hings"", ""3 reasons you’ll love this"", ""Best pick for "" &amp; G15)))))"),"3 reasons you’ll love this")</f>
        <v>3 reasons you’ll love this</v>
      </c>
      <c r="U15" s="2" t="str">
        <f t="shared" si="2"/>
        <v>Why it’s worth it: Brew perfect coffee in under a minute with one-touch convenience Features: 5 cup sizes •  Iced coffee setting •  Strong brew option •  Large water reservoir •  Programmable. Great for: coffee lovers and busy professionals. Keywords: Keurig, coffee maker, single serve, K-cup, coffee machine, brewing system, kitchen appliances As an Amazon Associate I earn from qualifying purchases. #ad</v>
      </c>
      <c r="V15" s="2" t="str">
        <f>IF(B15="","",IFERROR(VLOOKUP(B15,Boards0!A:B,2,FALSE),"General Finds"))</f>
        <v>Kitchen Upgrades &amp; Must-Haves</v>
      </c>
      <c r="W15" s="2" t="str">
        <f t="shared" si="3"/>
        <v>2026-01-08_T4_PROD014.png</v>
      </c>
    </row>
    <row r="16">
      <c r="A16" s="1" t="s">
        <v>159</v>
      </c>
      <c r="B16" s="1" t="s">
        <v>30</v>
      </c>
      <c r="C16" s="1" t="s">
        <v>160</v>
      </c>
      <c r="D16" s="1" t="s">
        <v>161</v>
      </c>
      <c r="E16" s="1" t="s">
        <v>162</v>
      </c>
      <c r="F16" s="1" t="s">
        <v>163</v>
      </c>
      <c r="G16" s="1" t="s">
        <v>164</v>
      </c>
      <c r="H16" s="1" t="s">
        <v>165</v>
      </c>
      <c r="I16" s="1" t="s">
        <v>69</v>
      </c>
      <c r="J16" s="4" t="s">
        <v>57</v>
      </c>
      <c r="K16" s="1" t="s">
        <v>23</v>
      </c>
      <c r="L16" s="1" t="s">
        <v>45</v>
      </c>
      <c r="M16" s="1" t="s">
        <v>92</v>
      </c>
      <c r="N16" s="1" t="s">
        <v>93</v>
      </c>
      <c r="O16" s="1" t="s">
        <v>73</v>
      </c>
      <c r="P16" s="1" t="s">
        <v>49</v>
      </c>
      <c r="R16" s="1">
        <v>3.0</v>
      </c>
      <c r="S16" s="2" t="str">
        <f t="shared" si="1"/>
        <v>Yoga Mat Extra Thick Non-Slip — Best pick for yoga practitioners and fitness enthusiasts</v>
      </c>
      <c r="T16" s="2" t="str">
        <f>IFERROR(__xludf.DUMMYFUNCTION("IF(C16="""","""",IF(M16=""Question"",""Still dealing with "" &amp; LOWER(REGEXREPLACE(SPLIT(H16,"","",TRUE,TRUE),""\s+$"","""")) &amp; ""?"", IF(M16=""Bold Claim"", ""Fix this in 5 minutes"", IF(M16=""Stop Doing This"", ""Stop struggling with this"", IF(M16=""3 T"&amp;"hings"", ""3 reasons you’ll love this"", ""Best pick for "" &amp; G16)))))"),"Stop struggling with this")</f>
        <v>Stop struggling with this</v>
      </c>
      <c r="U16" s="2" t="str">
        <f t="shared" si="2"/>
        <v>Why it’s worth it: Practice yoga comfortably with extra cushioning and grip Features: Extra thick 1/2 inch •  Non-slip surface •  Moisture resistant •  Carrying strap •  Easy to clean. Great for: yoga practitioners and fitness enthusiasts. Keywords: yoga mat, exercise mat, fitness mat, yoga accessories, workout mat, non-slip mat, thick mat As an Amazon Associate I earn from qualifying purchases. #ad</v>
      </c>
      <c r="V16" s="2" t="str">
        <f>IF(B16="","",IFERROR(VLOOKUP(B16,Boards0!A:B,2,FALSE),"General Finds"))</f>
        <v>Home Gym Essentials</v>
      </c>
      <c r="W16" s="2" t="str">
        <f t="shared" si="3"/>
        <v>2026-01-08_T5_PROD015.png</v>
      </c>
    </row>
    <row r="17">
      <c r="A17" s="1" t="s">
        <v>166</v>
      </c>
      <c r="B17" s="1" t="s">
        <v>28</v>
      </c>
      <c r="C17" s="1" t="s">
        <v>167</v>
      </c>
      <c r="D17" s="1" t="s">
        <v>168</v>
      </c>
      <c r="E17" s="1" t="s">
        <v>169</v>
      </c>
      <c r="F17" s="1" t="s">
        <v>170</v>
      </c>
      <c r="G17" s="1" t="s">
        <v>171</v>
      </c>
      <c r="H17" s="1" t="s">
        <v>172</v>
      </c>
      <c r="I17" s="1" t="s">
        <v>43</v>
      </c>
      <c r="J17" s="4" t="s">
        <v>57</v>
      </c>
      <c r="K17" s="1" t="s">
        <v>23</v>
      </c>
      <c r="L17" s="1" t="s">
        <v>58</v>
      </c>
      <c r="M17" s="1" t="s">
        <v>82</v>
      </c>
      <c r="N17" s="1" t="s">
        <v>47</v>
      </c>
      <c r="O17" s="1" t="s">
        <v>84</v>
      </c>
      <c r="P17" s="1" t="s">
        <v>49</v>
      </c>
      <c r="R17" s="1">
        <v>4.0</v>
      </c>
      <c r="S17" s="2" t="str">
        <f t="shared" si="1"/>
        <v>Craftsman 230-Piece Mechanics Tool Set — Easy upgrade for mechanics and tool collectors</v>
      </c>
      <c r="T17" s="2" t="str">
        <f>IFERROR(__xludf.DUMMYFUNCTION("IF(C17="""","""",IF(M17=""Question"",""Still dealing with "" &amp; LOWER(REGEXREPLACE(SPLIT(H17,"","",TRUE,TRUE),""\s+$"","""")) &amp; ""?"", IF(M17=""Bold Claim"", ""Fix this in 5 minutes"", IF(M17=""Stop Doing This"", ""Stop struggling with this"", IF(M17=""3 T"&amp;"hings"", ""3 reasons you’ll love this"", ""Best pick for "" &amp; G17)))))"),"Best pick for mechanics and tool collectors")</f>
        <v>Best pick for mechanics and tool collectors</v>
      </c>
      <c r="U17" s="2" t="str">
        <f t="shared" si="2"/>
        <v>Why it’s worth it: Complete your workshop with this comprehensive tool set Features: 230 pieces •  Sockets and wrenches •  Durable case •  Chrome finish •  Lifetime warranty. Great for: mechanics and tool collectors. Keywords: tool set, Craftsman, mechanics tools, socket set, wrench set, garage tools, hand tools As an Amazon Associate I earn from qualifying purchases. #ad</v>
      </c>
      <c r="V17" s="2" t="str">
        <f>IF(B17="","",IFERROR(VLOOKUP(B17,Boards0!A:B,2,FALSE),"General Finds"))</f>
        <v>Tools That Save Time</v>
      </c>
      <c r="W17" s="2" t="str">
        <f t="shared" si="3"/>
        <v>2026-01-08_T1_PROD016.png</v>
      </c>
    </row>
    <row r="18">
      <c r="A18" s="1" t="s">
        <v>173</v>
      </c>
      <c r="B18" s="1" t="s">
        <v>32</v>
      </c>
      <c r="C18" s="1" t="s">
        <v>174</v>
      </c>
      <c r="D18" s="1" t="s">
        <v>175</v>
      </c>
      <c r="E18" s="1" t="s">
        <v>176</v>
      </c>
      <c r="F18" s="1" t="s">
        <v>177</v>
      </c>
      <c r="G18" s="1" t="s">
        <v>178</v>
      </c>
      <c r="H18" s="1" t="s">
        <v>179</v>
      </c>
      <c r="I18" s="1" t="s">
        <v>43</v>
      </c>
      <c r="J18" s="4" t="s">
        <v>57</v>
      </c>
      <c r="K18" s="1" t="s">
        <v>23</v>
      </c>
      <c r="L18" s="1" t="s">
        <v>70</v>
      </c>
      <c r="M18" s="1" t="s">
        <v>46</v>
      </c>
      <c r="N18" s="1" t="s">
        <v>60</v>
      </c>
      <c r="O18" s="1" t="s">
        <v>94</v>
      </c>
      <c r="P18" s="1" t="s">
        <v>49</v>
      </c>
      <c r="R18" s="1">
        <v>3.0</v>
      </c>
      <c r="S18" s="2" t="str">
        <f t="shared" si="1"/>
        <v>Garmin DriveSmart 65 GPS Navigator — Best pick for road trippers and daily commuters</v>
      </c>
      <c r="T18" s="2" t="str">
        <f>IFERROR(__xludf.DUMMYFUNCTION("IF(C18="""","""",IF(M18=""Question"",""Still dealing with "" &amp; LOWER(REGEXREPLACE(SPLIT(H18,"","",TRUE,TRUE),""\s+$"","""")) &amp; ""?"", IF(M18=""Bold Claim"", ""Fix this in 5 minutes"", IF(M18=""Stop Doing This"", ""Stop struggling with this"", IF(M18=""3 T"&amp;"hings"", ""3 reasons you’ll love this"", ""Best pick for "" &amp; G18)))))"),"Still dealing with gps?")</f>
        <v>Still dealing with gps?</v>
      </c>
      <c r="U18" s="2" t="str">
        <f t="shared" si="2"/>
        <v>Why it’s worth it: Navigate with confidence using voice-activated GPS Features: 6.95-inch display •  Voice control •  Live traffic •  Bluetooth •  Driver alerts •  Lifetime maps. Great for: road trippers and daily commuters. Keywords: GPS, Garmin, car navigation, GPS navigator, driving directions, car electronics, travel As an Amazon Associate I earn from qualifying purchases. #ad</v>
      </c>
      <c r="V18" s="2" t="str">
        <f>IF(B18="","",IFERROR(VLOOKUP(B18,Boards0!A:B,2,FALSE),"General Finds"))</f>
        <v>Car Accessories &amp; Upgrades</v>
      </c>
      <c r="W18" s="2" t="str">
        <f t="shared" si="3"/>
        <v>2026-01-08_T2_PROD017.png</v>
      </c>
    </row>
    <row r="19">
      <c r="A19" s="1" t="s">
        <v>180</v>
      </c>
      <c r="B19" s="1" t="s">
        <v>34</v>
      </c>
      <c r="C19" s="1" t="s">
        <v>181</v>
      </c>
      <c r="D19" s="1" t="s">
        <v>38</v>
      </c>
      <c r="E19" s="1" t="s">
        <v>182</v>
      </c>
      <c r="F19" s="1" t="s">
        <v>183</v>
      </c>
      <c r="G19" s="1" t="s">
        <v>184</v>
      </c>
      <c r="H19" s="1" t="s">
        <v>185</v>
      </c>
      <c r="I19" s="1" t="s">
        <v>69</v>
      </c>
      <c r="J19" s="4" t="s">
        <v>57</v>
      </c>
      <c r="K19" s="1" t="s">
        <v>23</v>
      </c>
      <c r="L19" s="1" t="s">
        <v>45</v>
      </c>
      <c r="M19" s="1" t="s">
        <v>59</v>
      </c>
      <c r="N19" s="1" t="s">
        <v>72</v>
      </c>
      <c r="O19" s="1" t="s">
        <v>102</v>
      </c>
      <c r="P19" s="1" t="s">
        <v>49</v>
      </c>
      <c r="R19" s="1">
        <v>4.0</v>
      </c>
      <c r="S19" s="2" t="str">
        <f t="shared" si="1"/>
        <v>USB-C Hub 7-in-1 Adapter — Best pick for laptop users and professionals</v>
      </c>
      <c r="T19" s="2" t="str">
        <f>IFERROR(__xludf.DUMMYFUNCTION("IF(C19="""","""",IF(M19=""Question"",""Still dealing with "" &amp; LOWER(REGEXREPLACE(SPLIT(H19,"","",TRUE,TRUE),""\s+$"","""")) &amp; ""?"", IF(M19=""Bold Claim"", ""Fix this in 5 minutes"", IF(M19=""Stop Doing This"", ""Stop struggling with this"", IF(M19=""3 T"&amp;"hings"", ""3 reasons you’ll love this"", ""Best pick for "" &amp; G19)))))"),"Fix this in 5 minutes")</f>
        <v>Fix this in 5 minutes</v>
      </c>
      <c r="U19" s="2" t="str">
        <f t="shared" si="2"/>
        <v>Why it’s worth it: Expand your laptop connectivity with 7 essential ports Features: 7 ports •  4K HDMI •  USB 3.0 •  SD card reader •  100W power delivery •  Compact design. Great for: laptop users and professionals. Keywords: USB-C hub, laptop adapter, Anker, USB hub, HDMI adapter, computer accessories, docking station As an Amazon Associate I earn from qualifying purchases. #ad</v>
      </c>
      <c r="V19" s="2" t="str">
        <f>IF(B19="","",IFERROR(VLOOKUP(B19,Boards0!A:B,2,FALSE),"General Finds"))</f>
        <v>Desk Setup &amp; Accessories</v>
      </c>
      <c r="W19" s="2" t="str">
        <f t="shared" si="3"/>
        <v>2026-01-08_T3_PROD018.png</v>
      </c>
    </row>
    <row r="20">
      <c r="A20" s="1" t="s">
        <v>186</v>
      </c>
      <c r="B20" s="1" t="s">
        <v>24</v>
      </c>
      <c r="C20" s="1" t="s">
        <v>187</v>
      </c>
      <c r="D20" s="1" t="s">
        <v>188</v>
      </c>
      <c r="E20" s="1" t="s">
        <v>189</v>
      </c>
      <c r="F20" s="1" t="s">
        <v>190</v>
      </c>
      <c r="G20" s="1" t="s">
        <v>191</v>
      </c>
      <c r="H20" s="1" t="s">
        <v>192</v>
      </c>
      <c r="I20" s="1" t="s">
        <v>81</v>
      </c>
      <c r="J20" s="4" t="s">
        <v>57</v>
      </c>
      <c r="K20" s="1" t="s">
        <v>23</v>
      </c>
      <c r="L20" s="1" t="s">
        <v>58</v>
      </c>
      <c r="M20" s="1" t="s">
        <v>71</v>
      </c>
      <c r="N20" s="1" t="s">
        <v>83</v>
      </c>
      <c r="O20" s="1" t="s">
        <v>48</v>
      </c>
      <c r="P20" s="1" t="s">
        <v>49</v>
      </c>
      <c r="R20" s="1">
        <v>5.0</v>
      </c>
      <c r="S20" s="2" t="str">
        <f t="shared" si="1"/>
        <v>Bose QuietComfort 45 Headphones — Easy upgrade for audiophiles and travelers</v>
      </c>
      <c r="T20" s="2" t="str">
        <f>IFERROR(__xludf.DUMMYFUNCTION("IF(C20="""","""",IF(M20=""Question"",""Still dealing with "" &amp; LOWER(REGEXREPLACE(SPLIT(H20,"","",TRUE,TRUE),""\s+$"","""")) &amp; ""?"", IF(M20=""Bold Claim"", ""Fix this in 5 minutes"", IF(M20=""Stop Doing This"", ""Stop struggling with this"", IF(M20=""3 T"&amp;"hings"", ""3 reasons you’ll love this"", ""Best pick for "" &amp; G20)))))"),"3 reasons you’ll love this")</f>
        <v>3 reasons you’ll love this</v>
      </c>
      <c r="U20" s="2" t="str">
        <f t="shared" si="2"/>
        <v>Why it’s worth it: Immerse yourself in music with world-class noise cancellation Features: Active noise cancellation •  24-hour battery •  Bluetooth 5.1 •  Comfortable design •  Premium audio. Great for: audiophiles and travelers. Keywords: Bose headphones, noise cancelling headphones, wireless headphones, Bluetooth headphones, premium audio As an Amazon Associate I earn from qualifying purchases. #ad</v>
      </c>
      <c r="V20" s="2" t="str">
        <f>IF(B20="","",IFERROR(VLOOKUP(B20,Boards0!A:B,2,FALSE),"General Finds"))</f>
        <v>Smart Electronics Finds</v>
      </c>
      <c r="W20" s="2" t="str">
        <f t="shared" si="3"/>
        <v>2026-01-08_T4_PROD019.png</v>
      </c>
    </row>
    <row r="21">
      <c r="A21" s="1" t="s">
        <v>193</v>
      </c>
      <c r="B21" s="1" t="s">
        <v>26</v>
      </c>
      <c r="C21" s="1" t="s">
        <v>194</v>
      </c>
      <c r="D21" s="1" t="s">
        <v>195</v>
      </c>
      <c r="E21" s="1" t="s">
        <v>196</v>
      </c>
      <c r="F21" s="1" t="s">
        <v>197</v>
      </c>
      <c r="G21" s="1" t="s">
        <v>198</v>
      </c>
      <c r="H21" s="1" t="s">
        <v>199</v>
      </c>
      <c r="I21" s="1" t="s">
        <v>81</v>
      </c>
      <c r="J21" s="4" t="s">
        <v>57</v>
      </c>
      <c r="K21" s="1" t="s">
        <v>23</v>
      </c>
      <c r="L21" s="1" t="s">
        <v>58</v>
      </c>
      <c r="M21" s="1" t="s">
        <v>92</v>
      </c>
      <c r="N21" s="1" t="s">
        <v>93</v>
      </c>
      <c r="O21" s="1" t="s">
        <v>61</v>
      </c>
      <c r="P21" s="1" t="s">
        <v>49</v>
      </c>
      <c r="R21" s="1">
        <v>4.0</v>
      </c>
      <c r="S21" s="2" t="str">
        <f t="shared" si="1"/>
        <v>Vitamix E310 Explorian Blender — Easy upgrade for health enthusiasts and home chefs</v>
      </c>
      <c r="T21" s="2" t="str">
        <f>IFERROR(__xludf.DUMMYFUNCTION("IF(C21="""","""",IF(M21=""Question"",""Still dealing with "" &amp; LOWER(REGEXREPLACE(SPLIT(H21,"","",TRUE,TRUE),""\s+$"","""")) &amp; ""?"", IF(M21=""Bold Claim"", ""Fix this in 5 minutes"", IF(M21=""Stop Doing This"", ""Stop struggling with this"", IF(M21=""3 T"&amp;"hings"", ""3 reasons you’ll love this"", ""Best pick for "" &amp; G21)))))"),"Stop struggling with this")</f>
        <v>Stop struggling with this</v>
      </c>
      <c r="U21" s="2" t="str">
        <f t="shared" si="2"/>
        <v>Why it’s worth it: Blend anything from smoothies to hot soups with professional power Features: Variable speed control •  48-ounce container •  Self-cleaning •  Aircraft-grade blades •  5-year warranty. Great for: health enthusiasts and home chefs. Keywords: Vitamix, blender, high-power blender, smoothie maker, kitchen appliances, food processor As an Amazon Associate I earn from qualifying purchases. #ad</v>
      </c>
      <c r="V21" s="2" t="str">
        <f>IF(B21="","",IFERROR(VLOOKUP(B21,Boards0!A:B,2,FALSE),"General Finds"))</f>
        <v>Kitchen Upgrades &amp; Must-Haves</v>
      </c>
      <c r="W21" s="2" t="str">
        <f t="shared" si="3"/>
        <v>2026-01-08_T5_PROD020.png</v>
      </c>
    </row>
    <row r="22">
      <c r="A22" s="1" t="s">
        <v>200</v>
      </c>
      <c r="B22" s="1" t="s">
        <v>30</v>
      </c>
      <c r="C22" s="1" t="s">
        <v>201</v>
      </c>
      <c r="D22" s="1" t="s">
        <v>202</v>
      </c>
      <c r="E22" s="1" t="s">
        <v>203</v>
      </c>
      <c r="F22" s="1" t="s">
        <v>204</v>
      </c>
      <c r="G22" s="1" t="s">
        <v>205</v>
      </c>
      <c r="H22" s="1" t="s">
        <v>206</v>
      </c>
      <c r="I22" s="1" t="s">
        <v>81</v>
      </c>
      <c r="J22" s="4" t="s">
        <v>57</v>
      </c>
      <c r="K22" s="1" t="s">
        <v>23</v>
      </c>
      <c r="L22" s="1" t="s">
        <v>45</v>
      </c>
      <c r="M22" s="1" t="s">
        <v>82</v>
      </c>
      <c r="N22" s="1" t="s">
        <v>47</v>
      </c>
      <c r="O22" s="1" t="s">
        <v>73</v>
      </c>
      <c r="P22" s="1" t="s">
        <v>49</v>
      </c>
      <c r="R22" s="1">
        <v>5.0</v>
      </c>
      <c r="S22" s="2" t="str">
        <f t="shared" si="1"/>
        <v>Bowflex SelectTech Adjustable Dumbbells — Best pick for home gym builders and strength trainers</v>
      </c>
      <c r="T22" s="2" t="str">
        <f>IFERROR(__xludf.DUMMYFUNCTION("IF(C22="""","""",IF(M22=""Question"",""Still dealing with "" &amp; LOWER(REGEXREPLACE(SPLIT(H22,"","",TRUE,TRUE),""\s+$"","""")) &amp; ""?"", IF(M22=""Bold Claim"", ""Fix this in 5 minutes"", IF(M22=""Stop Doing This"", ""Stop struggling with this"", IF(M22=""3 T"&amp;"hings"", ""3 reasons you’ll love this"", ""Best pick for "" &amp; G22)))))"),"Best pick for home gym builders and strength trainers")</f>
        <v>Best pick for home gym builders and strength trainers</v>
      </c>
      <c r="U22" s="2" t="str">
        <f t="shared" si="2"/>
        <v>Why it’s worth it: Replace 15 sets of weights with one compact dumbbell system Features: Adjustable 5-52.5 lbs •  Space-saving •  Durable construction •  Easy weight selection •  Compact storage. Great for: home gym builders and strength trainers. Keywords: adjustable dumbbells, Bowflex, home gym, weights, strength training, fitness equipment, dumbbells As an Amazon Associate I earn from qualifying purchases. #ad</v>
      </c>
      <c r="V22" s="2" t="str">
        <f>IF(B22="","",IFERROR(VLOOKUP(B22,Boards0!A:B,2,FALSE),"General Finds"))</f>
        <v>Home Gym Essentials</v>
      </c>
      <c r="W22" s="2" t="str">
        <f t="shared" si="3"/>
        <v>2026-01-08_T1_PROD021.png</v>
      </c>
    </row>
    <row r="23">
      <c r="A23" s="1" t="s">
        <v>207</v>
      </c>
      <c r="B23" s="1" t="s">
        <v>28</v>
      </c>
      <c r="C23" s="1" t="s">
        <v>208</v>
      </c>
      <c r="D23" s="1" t="s">
        <v>209</v>
      </c>
      <c r="E23" s="1" t="s">
        <v>210</v>
      </c>
      <c r="F23" s="1" t="s">
        <v>211</v>
      </c>
      <c r="G23" s="1" t="s">
        <v>212</v>
      </c>
      <c r="H23" s="1" t="s">
        <v>213</v>
      </c>
      <c r="I23" s="1" t="s">
        <v>43</v>
      </c>
      <c r="J23" s="4" t="s">
        <v>57</v>
      </c>
      <c r="K23" s="1" t="s">
        <v>23</v>
      </c>
      <c r="L23" s="1" t="s">
        <v>70</v>
      </c>
      <c r="M23" s="1" t="s">
        <v>46</v>
      </c>
      <c r="N23" s="1" t="s">
        <v>60</v>
      </c>
      <c r="O23" s="1" t="s">
        <v>84</v>
      </c>
      <c r="P23" s="1" t="s">
        <v>49</v>
      </c>
      <c r="R23" s="1">
        <v>3.0</v>
      </c>
      <c r="S23" s="2" t="str">
        <f t="shared" si="1"/>
        <v>Bosch 12V Cordless Drill Driver Kit — Best pick for precision work and tight spaces</v>
      </c>
      <c r="T23" s="2" t="str">
        <f>IFERROR(__xludf.DUMMYFUNCTION("IF(C23="""","""",IF(M23=""Question"",""Still dealing with "" &amp; LOWER(REGEXREPLACE(SPLIT(H23,"","",TRUE,TRUE),""\s+$"","""")) &amp; ""?"", IF(M23=""Bold Claim"", ""Fix this in 5 minutes"", IF(M23=""Stop Doing This"", ""Stop struggling with this"", IF(M23=""3 T"&amp;"hings"", ""3 reasons you’ll love this"", ""Best pick for "" &amp; G23)))))"),"Still dealing with bosch drill?")</f>
        <v>Still dealing with bosch drill?</v>
      </c>
      <c r="U23" s="2" t="str">
        <f t="shared" si="2"/>
        <v>Why it’s worth it: Handle precision tasks with this compact cordless drill Features: 12V battery •  Compact design •  20-position clutch •  LED light •  Includes 2 batteries. Great for: precision work and tight spaces. Keywords: Bosch drill, cordless drill, compact drill, 12V drill, power tools, precision tools As an Amazon Associate I earn from qualifying purchases. #ad</v>
      </c>
      <c r="V23" s="2" t="str">
        <f>IF(B23="","",IFERROR(VLOOKUP(B23,Boards0!A:B,2,FALSE),"General Finds"))</f>
        <v>Tools That Save Time</v>
      </c>
      <c r="W23" s="2" t="str">
        <f t="shared" si="3"/>
        <v>2026-01-08_T2_PROD022.png</v>
      </c>
    </row>
    <row r="24">
      <c r="A24" s="1" t="s">
        <v>214</v>
      </c>
      <c r="B24" s="1" t="s">
        <v>32</v>
      </c>
      <c r="C24" s="1" t="s">
        <v>215</v>
      </c>
      <c r="D24" s="1" t="s">
        <v>216</v>
      </c>
      <c r="E24" s="1" t="s">
        <v>217</v>
      </c>
      <c r="F24" s="1" t="s">
        <v>218</v>
      </c>
      <c r="G24" s="1" t="s">
        <v>219</v>
      </c>
      <c r="H24" s="1" t="s">
        <v>220</v>
      </c>
      <c r="I24" s="1" t="s">
        <v>69</v>
      </c>
      <c r="J24" s="4" t="s">
        <v>57</v>
      </c>
      <c r="K24" s="1" t="s">
        <v>23</v>
      </c>
      <c r="L24" s="1" t="s">
        <v>45</v>
      </c>
      <c r="M24" s="1" t="s">
        <v>59</v>
      </c>
      <c r="N24" s="1" t="s">
        <v>72</v>
      </c>
      <c r="O24" s="1" t="s">
        <v>94</v>
      </c>
      <c r="P24" s="1" t="s">
        <v>49</v>
      </c>
      <c r="R24" s="1">
        <v>3.0</v>
      </c>
      <c r="S24" s="2" t="str">
        <f t="shared" si="1"/>
        <v>Armor All Car Vacuum Cleaner — Best pick for car owners and detailers</v>
      </c>
      <c r="T24" s="2" t="str">
        <f>IFERROR(__xludf.DUMMYFUNCTION("IF(C24="""","""",IF(M24=""Question"",""Still dealing with "" &amp; LOWER(REGEXREPLACE(SPLIT(H24,"","",TRUE,TRUE),""\s+$"","""")) &amp; ""?"", IF(M24=""Bold Claim"", ""Fix this in 5 minutes"", IF(M24=""Stop Doing This"", ""Stop struggling with this"", IF(M24=""3 T"&amp;"hings"", ""3 reasons you’ll love this"", ""Best pick for "" &amp; G24)))))"),"Fix this in 5 minutes")</f>
        <v>Fix this in 5 minutes</v>
      </c>
      <c r="U24" s="2" t="str">
        <f t="shared" si="2"/>
        <v>Why it’s worth it: Keep your car spotless with powerful portable suction Features: Wet/dry vacuum •  16-foot cord •  Multiple attachments •  Compact storage •  Easy to empty. Great for: car owners and detailers. Keywords: car vacuum, portable vacuum, Armor All, auto cleaning, car accessories, vehicle vacuum As an Amazon Associate I earn from qualifying purchases. #ad</v>
      </c>
      <c r="V24" s="2" t="str">
        <f>IF(B24="","",IFERROR(VLOOKUP(B24,Boards0!A:B,2,FALSE),"General Finds"))</f>
        <v>Car Accessories &amp; Upgrades</v>
      </c>
      <c r="W24" s="2" t="str">
        <f t="shared" si="3"/>
        <v>2026-01-08_T3_PROD023.png</v>
      </c>
    </row>
    <row r="25">
      <c r="A25" s="1" t="s">
        <v>221</v>
      </c>
      <c r="B25" s="1" t="s">
        <v>34</v>
      </c>
      <c r="C25" s="1" t="s">
        <v>222</v>
      </c>
      <c r="D25" s="1" t="s">
        <v>97</v>
      </c>
      <c r="E25" s="1" t="s">
        <v>223</v>
      </c>
      <c r="F25" s="1" t="s">
        <v>224</v>
      </c>
      <c r="G25" s="1" t="s">
        <v>225</v>
      </c>
      <c r="H25" s="1" t="s">
        <v>226</v>
      </c>
      <c r="I25" s="1" t="s">
        <v>69</v>
      </c>
      <c r="J25" s="4" t="s">
        <v>57</v>
      </c>
      <c r="K25" s="1" t="s">
        <v>23</v>
      </c>
      <c r="L25" s="1" t="s">
        <v>58</v>
      </c>
      <c r="M25" s="1" t="s">
        <v>71</v>
      </c>
      <c r="N25" s="1" t="s">
        <v>83</v>
      </c>
      <c r="O25" s="1" t="s">
        <v>102</v>
      </c>
      <c r="P25" s="1" t="s">
        <v>49</v>
      </c>
      <c r="R25" s="1">
        <v>4.0</v>
      </c>
      <c r="S25" s="2" t="str">
        <f t="shared" si="1"/>
        <v>Webcam 1080P HD with Microphone — Easy upgrade for remote workers and streamers</v>
      </c>
      <c r="T25" s="2" t="str">
        <f>IFERROR(__xludf.DUMMYFUNCTION("IF(C25="""","""",IF(M25=""Question"",""Still dealing with "" &amp; LOWER(REGEXREPLACE(SPLIT(H25,"","",TRUE,TRUE),""\s+$"","""")) &amp; ""?"", IF(M25=""Bold Claim"", ""Fix this in 5 minutes"", IF(M25=""Stop Doing This"", ""Stop struggling with this"", IF(M25=""3 T"&amp;"hings"", ""3 reasons you’ll love this"", ""Best pick for "" &amp; G25)))))"),"3 reasons you’ll love this")</f>
        <v>3 reasons you’ll love this</v>
      </c>
      <c r="U25" s="2" t="str">
        <f t="shared" si="2"/>
        <v>Why it’s worth it: Look professional in video calls with crystal-clear HD quality Features: 1080P HD •  Built-in microphone •  Auto light correction •  Wide-angle lens •  Plug and play. Great for: remote workers and streamers. Keywords: webcam, Logitech webcam, HD camera, video conferencing, streaming camera, computer camera As an Amazon Associate I earn from qualifying purchases. #ad</v>
      </c>
      <c r="V25" s="2" t="str">
        <f>IF(B25="","",IFERROR(VLOOKUP(B25,Boards0!A:B,2,FALSE),"General Finds"))</f>
        <v>Desk Setup &amp; Accessories</v>
      </c>
      <c r="W25" s="2" t="str">
        <f t="shared" si="3"/>
        <v>2026-01-08_T4_PROD024.png</v>
      </c>
    </row>
    <row r="26">
      <c r="A26" s="1" t="s">
        <v>227</v>
      </c>
      <c r="B26" s="1" t="s">
        <v>24</v>
      </c>
      <c r="C26" s="1" t="s">
        <v>228</v>
      </c>
      <c r="D26" s="1" t="s">
        <v>229</v>
      </c>
      <c r="E26" s="1" t="s">
        <v>230</v>
      </c>
      <c r="F26" s="1" t="s">
        <v>231</v>
      </c>
      <c r="G26" s="1" t="s">
        <v>232</v>
      </c>
      <c r="H26" s="1" t="s">
        <v>233</v>
      </c>
      <c r="I26" s="1" t="s">
        <v>81</v>
      </c>
      <c r="J26" s="4" t="s">
        <v>57</v>
      </c>
      <c r="K26" s="1" t="s">
        <v>23</v>
      </c>
      <c r="L26" s="1" t="s">
        <v>45</v>
      </c>
      <c r="M26" s="1" t="s">
        <v>92</v>
      </c>
      <c r="N26" s="1" t="s">
        <v>93</v>
      </c>
      <c r="O26" s="1" t="s">
        <v>48</v>
      </c>
      <c r="P26" s="1" t="s">
        <v>49</v>
      </c>
      <c r="R26" s="1">
        <v>5.0</v>
      </c>
      <c r="S26" s="2" t="str">
        <f t="shared" si="1"/>
        <v>Ring Video Doorbell Pro 2 — Best pick for homeowners and security-conscious</v>
      </c>
      <c r="T26" s="2" t="str">
        <f>IFERROR(__xludf.DUMMYFUNCTION("IF(C26="""","""",IF(M26=""Question"",""Still dealing with "" &amp; LOWER(REGEXREPLACE(SPLIT(H26,"","",TRUE,TRUE),""\s+$"","""")) &amp; ""?"", IF(M26=""Bold Claim"", ""Fix this in 5 minutes"", IF(M26=""Stop Doing This"", ""Stop struggling with this"", IF(M26=""3 T"&amp;"hings"", ""3 reasons you’ll love this"", ""Best pick for "" &amp; G26)))))"),"Stop struggling with this")</f>
        <v>Stop struggling with this</v>
      </c>
      <c r="U26" s="2" t="str">
        <f t="shared" si="2"/>
        <v>Why it’s worth it: See and speak to visitors from anywhere with HD+ video Features: 1536p HD+ video •  3D motion detection •  Two-way talk •  Night vision •  Alexa compatible. Great for: homeowners and security-conscious. Keywords: Ring doorbell, video doorbell, smart doorbell, home security, Ring camera, doorbell camera As an Amazon Associate I earn from qualifying purchases. #ad</v>
      </c>
      <c r="V26" s="2" t="str">
        <f>IF(B26="","",IFERROR(VLOOKUP(B26,Boards0!A:B,2,FALSE),"General Finds"))</f>
        <v>Smart Electronics Finds</v>
      </c>
      <c r="W26" s="2" t="str">
        <f t="shared" si="3"/>
        <v>2026-01-08_T5_PROD025.png</v>
      </c>
    </row>
    <row r="27">
      <c r="A27" s="1" t="s">
        <v>234</v>
      </c>
      <c r="B27" s="1" t="s">
        <v>26</v>
      </c>
      <c r="C27" s="1" t="s">
        <v>235</v>
      </c>
      <c r="D27" s="1" t="s">
        <v>236</v>
      </c>
      <c r="E27" s="1" t="s">
        <v>237</v>
      </c>
      <c r="F27" s="1" t="s">
        <v>238</v>
      </c>
      <c r="G27" s="1" t="s">
        <v>239</v>
      </c>
      <c r="H27" s="1" t="s">
        <v>240</v>
      </c>
      <c r="I27" s="1" t="s">
        <v>69</v>
      </c>
      <c r="J27" s="4" t="s">
        <v>57</v>
      </c>
      <c r="K27" s="1" t="s">
        <v>23</v>
      </c>
      <c r="L27" s="1" t="s">
        <v>58</v>
      </c>
      <c r="M27" s="1" t="s">
        <v>82</v>
      </c>
      <c r="N27" s="1" t="s">
        <v>47</v>
      </c>
      <c r="O27" s="1" t="s">
        <v>61</v>
      </c>
      <c r="P27" s="1" t="s">
        <v>49</v>
      </c>
      <c r="R27" s="1">
        <v>3.0</v>
      </c>
      <c r="S27" s="2" t="str">
        <f t="shared" si="1"/>
        <v>Lodge Cast Iron Skillet 12-Inch — Easy upgrade for home cooks and camping enthusiasts</v>
      </c>
      <c r="T27" s="2" t="str">
        <f>IFERROR(__xludf.DUMMYFUNCTION("IF(C27="""","""",IF(M27=""Question"",""Still dealing with "" &amp; LOWER(REGEXREPLACE(SPLIT(H27,"","",TRUE,TRUE),""\s+$"","""")) &amp; ""?"", IF(M27=""Bold Claim"", ""Fix this in 5 minutes"", IF(M27=""Stop Doing This"", ""Stop struggling with this"", IF(M27=""3 T"&amp;"hings"", ""3 reasons you’ll love this"", ""Best pick for "" &amp; G27)))))"),"Best pick for home cooks and camping enthusiasts")</f>
        <v>Best pick for home cooks and camping enthusiasts</v>
      </c>
      <c r="U27" s="2" t="str">
        <f t="shared" si="2"/>
        <v>Why it’s worth it: Cook like a pro with this pre-seasoned cast iron skillet Features: Pre-seasoned •  12-inch diameter •  Oven safe •  Lifetime durability •  Even heat distribution. Great for: home cooks and camping enthusiasts. Keywords: cast iron skillet, Lodge, cookware, frying pan, kitchen essentials, camping cookware As an Amazon Associate I earn from qualifying purchases. #ad</v>
      </c>
      <c r="V27" s="2" t="str">
        <f>IF(B27="","",IFERROR(VLOOKUP(B27,Boards0!A:B,2,FALSE),"General Finds"))</f>
        <v>Kitchen Upgrades &amp; Must-Haves</v>
      </c>
      <c r="W27" s="2" t="str">
        <f t="shared" si="3"/>
        <v>2026-01-08_T1_PROD026.png</v>
      </c>
    </row>
    <row r="28">
      <c r="A28" s="1" t="s">
        <v>241</v>
      </c>
      <c r="B28" s="1" t="s">
        <v>30</v>
      </c>
      <c r="C28" s="1" t="s">
        <v>242</v>
      </c>
      <c r="D28" s="1" t="s">
        <v>243</v>
      </c>
      <c r="E28" s="1" t="s">
        <v>244</v>
      </c>
      <c r="F28" s="1" t="s">
        <v>245</v>
      </c>
      <c r="G28" s="1" t="s">
        <v>246</v>
      </c>
      <c r="H28" s="1" t="s">
        <v>247</v>
      </c>
      <c r="I28" s="1" t="s">
        <v>69</v>
      </c>
      <c r="J28" s="4" t="s">
        <v>57</v>
      </c>
      <c r="K28" s="1" t="s">
        <v>23</v>
      </c>
      <c r="L28" s="1" t="s">
        <v>70</v>
      </c>
      <c r="M28" s="1" t="s">
        <v>46</v>
      </c>
      <c r="N28" s="1" t="s">
        <v>60</v>
      </c>
      <c r="O28" s="1" t="s">
        <v>73</v>
      </c>
      <c r="P28" s="1" t="s">
        <v>49</v>
      </c>
      <c r="R28" s="1">
        <v>3.0</v>
      </c>
      <c r="S28" s="2" t="str">
        <f t="shared" si="1"/>
        <v>Foam Roller for Muscle Recovery — Best pick for athletes and fitness enthusiasts</v>
      </c>
      <c r="T28" s="2" t="str">
        <f>IFERROR(__xludf.DUMMYFUNCTION("IF(C28="""","""",IF(M28=""Question"",""Still dealing with "" &amp; LOWER(REGEXREPLACE(SPLIT(H28,"","",TRUE,TRUE),""\s+$"","""")) &amp; ""?"", IF(M28=""Bold Claim"", ""Fix this in 5 minutes"", IF(M28=""Stop Doing This"", ""Stop struggling with this"", IF(M28=""3 T"&amp;"hings"", ""3 reasons you’ll love this"", ""Best pick for "" &amp; G28)))))"),"Still dealing with foam roller?")</f>
        <v>Still dealing with foam roller?</v>
      </c>
      <c r="U28" s="2" t="str">
        <f t="shared" si="2"/>
        <v>Why it’s worth it: Speed up recovery and reduce soreness with targeted massage Features: High-density foam •  Multi-density zones •  Durable construction •  Portable •  Includes guide. Great for: athletes and fitness enthusiasts. Keywords: foam roller, muscle recovery, massage roller, fitness recovery, TriggerPoint, workout recovery As an Amazon Associate I earn from qualifying purchases. #ad</v>
      </c>
      <c r="V28" s="2" t="str">
        <f>IF(B28="","",IFERROR(VLOOKUP(B28,Boards0!A:B,2,FALSE),"General Finds"))</f>
        <v>Home Gym Essentials</v>
      </c>
      <c r="W28" s="2" t="str">
        <f t="shared" si="3"/>
        <v>2026-01-08_T2_PROD027.png</v>
      </c>
    </row>
    <row r="29">
      <c r="A29" s="1" t="s">
        <v>248</v>
      </c>
      <c r="B29" s="1" t="s">
        <v>28</v>
      </c>
      <c r="C29" s="1" t="s">
        <v>249</v>
      </c>
      <c r="D29" s="1" t="s">
        <v>250</v>
      </c>
      <c r="E29" s="1" t="s">
        <v>251</v>
      </c>
      <c r="F29" s="1" t="s">
        <v>252</v>
      </c>
      <c r="G29" s="1" t="s">
        <v>253</v>
      </c>
      <c r="H29" s="1" t="s">
        <v>254</v>
      </c>
      <c r="I29" s="1" t="s">
        <v>81</v>
      </c>
      <c r="J29" s="4" t="s">
        <v>57</v>
      </c>
      <c r="K29" s="1" t="s">
        <v>23</v>
      </c>
      <c r="L29" s="1" t="s">
        <v>58</v>
      </c>
      <c r="M29" s="1" t="s">
        <v>59</v>
      </c>
      <c r="N29" s="1" t="s">
        <v>72</v>
      </c>
      <c r="O29" s="1" t="s">
        <v>84</v>
      </c>
      <c r="P29" s="1" t="s">
        <v>49</v>
      </c>
      <c r="R29" s="1">
        <v>5.0</v>
      </c>
      <c r="S29" s="2" t="str">
        <f t="shared" si="1"/>
        <v>Milwaukee M18 Impact Driver Kit — Easy upgrade for contractors and serious DIYers</v>
      </c>
      <c r="T29" s="2" t="str">
        <f>IFERROR(__xludf.DUMMYFUNCTION("IF(C29="""","""",IF(M29=""Question"",""Still dealing with "" &amp; LOWER(REGEXREPLACE(SPLIT(H29,"","",TRUE,TRUE),""\s+$"","""")) &amp; ""?"", IF(M29=""Bold Claim"", ""Fix this in 5 minutes"", IF(M29=""Stop Doing This"", ""Stop struggling with this"", IF(M29=""3 T"&amp;"hings"", ""3 reasons you’ll love this"", ""Best pick for "" &amp; G29)))))"),"Fix this in 5 minutes")</f>
        <v>Fix this in 5 minutes</v>
      </c>
      <c r="U29" s="2" t="str">
        <f t="shared" si="2"/>
        <v>Why it’s worth it: Drive screws faster with professional-grade impact power Features: M18 battery system •  1500 in-lbs torque •  LED light •  Compact •  Includes battery and charger. Great for: contractors and serious DIYers. Keywords: impact driver, Milwaukee, power tools, cordless impact, M18 tools, professional tools As an Amazon Associate I earn from qualifying purchases. #ad</v>
      </c>
      <c r="V29" s="2" t="str">
        <f>IF(B29="","",IFERROR(VLOOKUP(B29,Boards0!A:B,2,FALSE),"General Finds"))</f>
        <v>Tools That Save Time</v>
      </c>
      <c r="W29" s="2" t="str">
        <f t="shared" si="3"/>
        <v>2026-01-08_T3_PROD028.png</v>
      </c>
    </row>
    <row r="30">
      <c r="A30" s="1" t="s">
        <v>255</v>
      </c>
      <c r="B30" s="1" t="s">
        <v>32</v>
      </c>
      <c r="C30" s="1" t="s">
        <v>256</v>
      </c>
      <c r="D30" s="1" t="s">
        <v>257</v>
      </c>
      <c r="E30" s="1" t="s">
        <v>258</v>
      </c>
      <c r="F30" s="1" t="s">
        <v>259</v>
      </c>
      <c r="G30" s="1" t="s">
        <v>260</v>
      </c>
      <c r="H30" s="1" t="s">
        <v>261</v>
      </c>
      <c r="I30" s="1" t="s">
        <v>69</v>
      </c>
      <c r="J30" s="4" t="s">
        <v>57</v>
      </c>
      <c r="K30" s="1" t="s">
        <v>23</v>
      </c>
      <c r="L30" s="1" t="s">
        <v>45</v>
      </c>
      <c r="M30" s="1" t="s">
        <v>71</v>
      </c>
      <c r="N30" s="1" t="s">
        <v>83</v>
      </c>
      <c r="O30" s="1" t="s">
        <v>94</v>
      </c>
      <c r="P30" s="1" t="s">
        <v>49</v>
      </c>
      <c r="R30" s="1">
        <v>3.0</v>
      </c>
      <c r="S30" s="2" t="str">
        <f t="shared" si="1"/>
        <v>Michelin Stealth Hybrid Wiper Blades — Best pick for all car owners</v>
      </c>
      <c r="T30" s="2" t="str">
        <f>IFERROR(__xludf.DUMMYFUNCTION("IF(C30="""","""",IF(M30=""Question"",""Still dealing with "" &amp; LOWER(REGEXREPLACE(SPLIT(H30,"","",TRUE,TRUE),""\s+$"","""")) &amp; ""?"", IF(M30=""Bold Claim"", ""Fix this in 5 minutes"", IF(M30=""Stop Doing This"", ""Stop struggling with this"", IF(M30=""3 T"&amp;"hings"", ""3 reasons you’ll love this"", ""Best pick for "" &amp; G30)))))"),"3 reasons you’ll love this")</f>
        <v>3 reasons you’ll love this</v>
      </c>
      <c r="U30" s="2" t="str">
        <f t="shared" si="2"/>
        <v>Why it’s worth it: See clearly in any weather with premium wiper blades Features: Hybrid design •  All-weather performance •  Easy installation •  Quiet operation •  Durable. Great for: all car owners. Keywords: wiper blades, Michelin, car parts, windshield wipers, auto accessories, all-weather wipers As an Amazon Associate I earn from qualifying purchases. #ad</v>
      </c>
      <c r="V30" s="2" t="str">
        <f>IF(B30="","",IFERROR(VLOOKUP(B30,Boards0!A:B,2,FALSE),"General Finds"))</f>
        <v>Car Accessories &amp; Upgrades</v>
      </c>
      <c r="W30" s="2" t="str">
        <f t="shared" si="3"/>
        <v>2026-01-08_T4_PROD029.png</v>
      </c>
    </row>
    <row r="31">
      <c r="A31" s="1" t="s">
        <v>262</v>
      </c>
      <c r="B31" s="1" t="s">
        <v>34</v>
      </c>
      <c r="C31" s="1" t="s">
        <v>263</v>
      </c>
      <c r="D31" s="1" t="s">
        <v>264</v>
      </c>
      <c r="E31" s="1" t="s">
        <v>265</v>
      </c>
      <c r="F31" s="1" t="s">
        <v>266</v>
      </c>
      <c r="G31" s="1" t="s">
        <v>267</v>
      </c>
      <c r="H31" s="1" t="s">
        <v>268</v>
      </c>
      <c r="I31" s="1" t="s">
        <v>43</v>
      </c>
      <c r="J31" s="4" t="s">
        <v>57</v>
      </c>
      <c r="K31" s="1" t="s">
        <v>23</v>
      </c>
      <c r="L31" s="1" t="s">
        <v>58</v>
      </c>
      <c r="M31" s="1" t="s">
        <v>92</v>
      </c>
      <c r="N31" s="1" t="s">
        <v>93</v>
      </c>
      <c r="O31" s="1" t="s">
        <v>102</v>
      </c>
      <c r="P31" s="1" t="s">
        <v>49</v>
      </c>
      <c r="R31" s="1">
        <v>4.0</v>
      </c>
      <c r="S31" s="2" t="str">
        <f t="shared" si="1"/>
        <v>Standing Desk Converter — Easy upgrade for office workers and remote professionals</v>
      </c>
      <c r="T31" s="2" t="str">
        <f>IFERROR(__xludf.DUMMYFUNCTION("IF(C31="""","""",IF(M31=""Question"",""Still dealing with "" &amp; LOWER(REGEXREPLACE(SPLIT(H31,"","",TRUE,TRUE),""\s+$"","""")) &amp; ""?"", IF(M31=""Bold Claim"", ""Fix this in 5 minutes"", IF(M31=""Stop Doing This"", ""Stop struggling with this"", IF(M31=""3 T"&amp;"hings"", ""3 reasons you’ll love this"", ""Best pick for "" &amp; G31)))))"),"Stop struggling with this")</f>
        <v>Stop struggling with this</v>
      </c>
      <c r="U31" s="2" t="str">
        <f t="shared" si="2"/>
        <v>Why it’s worth it: Improve posture and energy with an adjustable standing desk Features: Height adjustable •  32-inch wide •  Dual-tier design •  Easy assembly •  Sturdy construction. Great for: office workers and remote professionals. Keywords: standing desk, desk converter, VIVO, ergonomic desk, sit-stand desk, office furniture As an Amazon Associate I earn from qualifying purchases. #ad</v>
      </c>
      <c r="V31" s="2" t="str">
        <f>IF(B31="","",IFERROR(VLOOKUP(B31,Boards0!A:B,2,FALSE),"General Finds"))</f>
        <v>Desk Setup &amp; Accessories</v>
      </c>
      <c r="W31" s="2" t="str">
        <f t="shared" si="3"/>
        <v>2026-01-08_T5_PROD030.png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</hyperlinks>
  <drawing r:id="rId3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21</v>
      </c>
    </row>
    <row r="2">
      <c r="A2" s="1" t="s">
        <v>24</v>
      </c>
      <c r="B2" s="1" t="s">
        <v>25</v>
      </c>
    </row>
    <row r="3">
      <c r="A3" s="1" t="s">
        <v>26</v>
      </c>
      <c r="B3" s="1" t="s">
        <v>27</v>
      </c>
    </row>
    <row r="4">
      <c r="A4" s="1" t="s">
        <v>28</v>
      </c>
      <c r="B4" s="1" t="s">
        <v>29</v>
      </c>
    </row>
    <row r="5">
      <c r="A5" s="1" t="s">
        <v>30</v>
      </c>
      <c r="B5" s="1" t="s">
        <v>31</v>
      </c>
    </row>
    <row r="6">
      <c r="A6" s="1" t="s">
        <v>32</v>
      </c>
      <c r="B6" s="1" t="s">
        <v>33</v>
      </c>
    </row>
    <row r="7">
      <c r="A7" s="1" t="s">
        <v>34</v>
      </c>
      <c r="B7" s="1" t="s">
        <v>35</v>
      </c>
    </row>
  </sheetData>
  <drawing r:id="rId1"/>
</worksheet>
</file>