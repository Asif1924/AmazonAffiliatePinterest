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4"/>
    <sheet state="visible" name="Boards" sheetId="2" r:id="rId5"/>
  </sheets>
  <definedNames/>
  <calcPr/>
</workbook>
</file>

<file path=xl/sharedStrings.xml><?xml version="1.0" encoding="utf-8"?>
<sst xmlns="http://schemas.openxmlformats.org/spreadsheetml/2006/main" count="40" uniqueCount="36">
  <si>
    <t>ProductID</t>
  </si>
  <si>
    <t>Niche</t>
  </si>
  <si>
    <t>ProductName</t>
  </si>
  <si>
    <t>Brand</t>
  </si>
  <si>
    <t>KeyBenefit</t>
  </si>
  <si>
    <t>TopFeatures</t>
  </si>
  <si>
    <t>IdealFor</t>
  </si>
  <si>
    <t>Keywords</t>
  </si>
  <si>
    <t>PriceBand</t>
  </si>
  <si>
    <t>AmazonAffiliateURL</t>
  </si>
  <si>
    <t>DisclosureLine</t>
  </si>
  <si>
    <t>Angle</t>
  </si>
  <si>
    <t>HookStyle</t>
  </si>
  <si>
    <t>TemplateID</t>
  </si>
  <si>
    <t>BackgroundTheme</t>
  </si>
  <si>
    <t>Status</t>
  </si>
  <si>
    <t>LastUsedDate</t>
  </si>
  <si>
    <t>Priority</t>
  </si>
  <si>
    <t>PinTitle</t>
  </si>
  <si>
    <t>PinHookOverlay</t>
  </si>
  <si>
    <t>PinDescription</t>
  </si>
  <si>
    <t>BoardName</t>
  </si>
  <si>
    <t>CanvaImageName</t>
  </si>
  <si>
    <t>As an Amazon Associate I earn from qualifying purchases. #ad</t>
  </si>
  <si>
    <t>electronics</t>
  </si>
  <si>
    <t>Smart Electronics Finds</t>
  </si>
  <si>
    <t>home/kitchen</t>
  </si>
  <si>
    <t>Kitchen Upgrades &amp; Must-Haves</t>
  </si>
  <si>
    <t>tools</t>
  </si>
  <si>
    <t>Tools That Save Time</t>
  </si>
  <si>
    <t>fitness</t>
  </si>
  <si>
    <t>Home Gym Essentials</t>
  </si>
  <si>
    <t>cars</t>
  </si>
  <si>
    <t>Car Accessories &amp; Upgrades</t>
  </si>
  <si>
    <t>computer accessories</t>
  </si>
  <si>
    <t>Desk Setup &amp; Accessories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</si>
</sst>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'MesloLGM Nerd Font'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>
      <c r="K2" s="1" t="s">
        <v>23</v>
      </c>
      <c r="S2" s="2" t="str">
        <f>IF(C2="","",C2 &amp; " — " &amp; IF(L2="Upgrade","Easy upgrade for ","Best pick for ") &amp; G2)</f>
        <v/>
      </c>
      <c r="T2" s="2" t="str">
        <f>IFERROR(__xludf.DUMMYFUNCTION("IF(C2="""","""",IF(M2=""Question"",""Still dealing with "" &amp; LOWER(REGEXREPLACE(SPLIT(H2,"","",TRUE,TRUE),""\s+$"","""")) &amp; ""?"", IF(M2=""Bold Claim"", ""Fix this in 5 minutes"", IF(M2=""Stop Doing This"", ""Stop struggling with this"", IF(M2=""3 Things"&amp;""", ""3 reasons you’ll love this"", ""Best pick for "" &amp; G2)))))"),"")</f>
        <v/>
      </c>
      <c r="U2" s="2" t="str">
        <f>IF(C2="","","Why it’s worth it: " &amp; E2 &amp; " Features: " &amp; SUBSTITUTE(F2,";"," • ") &amp; ". Great for: " &amp; G2 &amp; ". Keywords: " &amp; H2 &amp; " " &amp; K2)</f>
        <v/>
      </c>
      <c r="V2" s="2" t="str">
        <f>IF(B2="","",IFERROR(VLOOKUP(B2,Boards!A:B,2,FALSE),"General Finds"))</f>
        <v/>
      </c>
      <c r="W2" s="2" t="str">
        <f>IF(A2="","",TEXT(TODAY(),"yyyy-mm-dd") &amp; "_" &amp; N2 &amp; "_" &amp; A2 &amp; ".png")</f>
        <v/>
      </c>
    </row>
    <row r="3">
      <c r="K3" s="1" t="s">
        <v>23</v>
      </c>
    </row>
    <row r="4">
      <c r="K4" s="1" t="s">
        <v>23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27.63"/>
  </cols>
  <sheetData>
    <row r="1">
      <c r="A1" s="1" t="s">
        <v>1</v>
      </c>
      <c r="B1" s="1" t="s">
        <v>21</v>
      </c>
    </row>
    <row r="2">
      <c r="A2" s="3" t="s">
        <v>24</v>
      </c>
      <c r="B2" s="3" t="s">
        <v>25</v>
      </c>
    </row>
    <row r="3">
      <c r="A3" s="3" t="s">
        <v>26</v>
      </c>
      <c r="B3" s="3" t="s">
        <v>27</v>
      </c>
    </row>
    <row r="4">
      <c r="A4" s="3" t="s">
        <v>28</v>
      </c>
      <c r="B4" s="3" t="s">
        <v>29</v>
      </c>
    </row>
    <row r="5">
      <c r="A5" s="3" t="s">
        <v>30</v>
      </c>
      <c r="B5" s="3" t="s">
        <v>31</v>
      </c>
    </row>
    <row r="6">
      <c r="A6" s="3" t="s">
        <v>32</v>
      </c>
      <c r="B6" s="3" t="s">
        <v>33</v>
      </c>
    </row>
    <row r="7">
      <c r="A7" s="3" t="s">
        <v>34</v>
      </c>
      <c r="B7" s="3" t="s">
        <v>35</v>
      </c>
    </row>
  </sheetData>
  <drawing r:id="rId1"/>
</worksheet>
</file>